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Registre GEI" sheetId="1" state="visible" r:id="rId1"/>
  </sheets>
  <definedNames/>
  <calcPr calcId="124519" fullCalcOnLoad="1"/>
</workbook>
</file>

<file path=xl/styles.xml><?xml version="1.0" encoding="utf-8"?>
<styleSheet xmlns="http://schemas.openxmlformats.org/spreadsheetml/2006/main">
  <numFmts count="2">
    <numFmt numFmtId="164" formatCode="m/d/yyyy"/>
    <numFmt numFmtId="165" formatCode="D/M/YYYY"/>
  </numFmts>
  <fonts count="7">
    <font>
      <name val="Calibri"/>
      <color theme="1"/>
      <sz val="11"/>
      <scheme val="minor"/>
    </font>
    <font>
      <name val="Calibri"/>
      <color theme="1"/>
      <sz val="11"/>
    </font>
    <font>
      <name val="Calibri"/>
      <color theme="1"/>
      <sz val="12"/>
    </font>
    <font>
      <name val="Calibri"/>
      <color theme="1"/>
      <sz val="12"/>
      <scheme val="minor"/>
    </font>
    <font>
      <name val="Calibri"/>
      <color rgb="FF000000"/>
      <sz val="11"/>
    </font>
    <font>
      <name val="&quot;Aptos Narrow&quot;"/>
      <color rgb="FF000000"/>
      <sz val="12"/>
    </font>
    <font>
      <name val="Calibri"/>
      <color theme="1"/>
      <scheme val="minor"/>
    </font>
  </fonts>
  <fills count="5">
    <fill>
      <patternFill/>
    </fill>
    <fill>
      <patternFill patternType="lightGray"/>
    </fill>
    <fill>
      <patternFill patternType="solid">
        <fgColor rgb="FFC4BD97"/>
        <bgColor rgb="FFC4BD97"/>
      </patternFill>
    </fill>
    <fill>
      <patternFill patternType="solid">
        <fgColor rgb="FFFFFF00"/>
        <bgColor rgb="FFFFFF00"/>
      </patternFill>
    </fill>
    <fill>
      <patternFill patternType="solid">
        <fgColor rgb="FFFDE9D9"/>
        <bgColor rgb="FFFDE9D9"/>
      </patternFill>
    </fill>
  </fills>
  <borders count="3">
    <border/>
    <border>
      <left style="thin">
        <color rgb="FF000000"/>
      </left>
      <right style="thin">
        <color rgb="FF000000"/>
      </right>
      <top style="thin">
        <color rgb="FF000000"/>
      </top>
      <bottom style="thin">
        <color rgb="FF000000"/>
      </bottom>
    </border>
    <border>
      <left/>
      <right/>
      <top/>
      <bottom/>
    </border>
  </borders>
  <cellStyleXfs count="1">
    <xf numFmtId="0" fontId="0" fillId="0" borderId="0"/>
  </cellStyleXfs>
  <cellXfs count="25">
    <xf numFmtId="0" fontId="0" fillId="0" borderId="0" applyAlignment="1" pivotButton="0" quotePrefix="0" xfId="0">
      <alignment vertical="bottom"/>
    </xf>
    <xf numFmtId="0" fontId="1" fillId="2" borderId="1" applyAlignment="1" pivotButton="0" quotePrefix="0" xfId="0">
      <alignment horizontal="center" vertical="center" wrapText="1"/>
    </xf>
    <xf numFmtId="0" fontId="2" fillId="0" borderId="0" applyAlignment="1" pivotButton="0" quotePrefix="0" xfId="0">
      <alignment horizontal="center" wrapText="1"/>
    </xf>
    <xf numFmtId="0" fontId="2" fillId="0" borderId="0" applyAlignment="1" pivotButton="0" quotePrefix="0" xfId="0">
      <alignment horizontal="center"/>
    </xf>
    <xf numFmtId="0" fontId="1" fillId="0" borderId="0" pivotButton="0" quotePrefix="0" xfId="0"/>
    <xf numFmtId="164" fontId="1" fillId="0" borderId="0" pivotButton="0" quotePrefix="0" xfId="0"/>
    <xf numFmtId="0" fontId="2" fillId="0" borderId="0" applyAlignment="1" pivotButton="0" quotePrefix="0" xfId="0">
      <alignment wrapText="1"/>
    </xf>
    <xf numFmtId="0" fontId="3" fillId="0" borderId="0" pivotButton="0" quotePrefix="0" xfId="0"/>
    <xf numFmtId="0" fontId="1" fillId="3" borderId="2" pivotButton="0" quotePrefix="0" xfId="0"/>
    <xf numFmtId="0" fontId="1" fillId="4" borderId="2" pivotButton="0" quotePrefix="0" xfId="0"/>
    <xf numFmtId="165" fontId="1" fillId="0" borderId="0" pivotButton="0" quotePrefix="0" xfId="0"/>
    <xf numFmtId="0" fontId="1" fillId="0" borderId="0" pivotButton="0" quotePrefix="0" xfId="0"/>
    <xf numFmtId="0" fontId="4" fillId="0" borderId="0" pivotButton="0" quotePrefix="0" xfId="0"/>
    <xf numFmtId="0" fontId="1" fillId="0" borderId="0" applyAlignment="1" pivotButton="0" quotePrefix="0" xfId="0">
      <alignment/>
    </xf>
    <xf numFmtId="0" fontId="1" fillId="0" borderId="0" applyAlignment="1" pivotButton="0" quotePrefix="0" xfId="0">
      <alignment/>
    </xf>
    <xf numFmtId="0" fontId="1" fillId="0" borderId="0" pivotButton="0" quotePrefix="0" xfId="0"/>
    <xf numFmtId="0" fontId="4" fillId="0" borderId="0" applyAlignment="1" pivotButton="0" quotePrefix="0" xfId="0">
      <alignment/>
    </xf>
    <xf numFmtId="164" fontId="4" fillId="0" borderId="0" applyAlignment="1" pivotButton="0" quotePrefix="0" xfId="0">
      <alignment vertical="bottom"/>
    </xf>
    <xf numFmtId="0" fontId="4" fillId="0" borderId="0" applyAlignment="1" pivotButton="0" quotePrefix="0" xfId="0">
      <alignment vertical="bottom"/>
    </xf>
    <xf numFmtId="164" fontId="1" fillId="0" borderId="0" pivotButton="0" quotePrefix="0" xfId="0"/>
    <xf numFmtId="0" fontId="5" fillId="0" borderId="0" applyAlignment="1" pivotButton="0" quotePrefix="0" xfId="0">
      <alignment vertical="bottom"/>
    </xf>
    <xf numFmtId="164" fontId="6" fillId="0" borderId="0" pivotButton="0" quotePrefix="0" xfId="0"/>
    <xf numFmtId="164" fontId="6" fillId="0" borderId="0" pivotButton="0" quotePrefix="0" xfId="0"/>
    <xf numFmtId="0" fontId="0" fillId="0" borderId="0" pivotButton="0" quotePrefix="0" xfId="0"/>
    <xf numFmtId="0" fontId="5" fillId="0" borderId="0" applyAlignment="1" pivotButton="0" quotePrefix="0" xfId="0">
      <alignment vertical="bottom"/>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Z92"/>
  <sheetViews>
    <sheetView workbookViewId="0">
      <pane ySplit="1" topLeftCell="A2" activePane="bottomLeft" state="frozen"/>
      <selection pane="bottomLeft" activeCell="B3" sqref="B3"/>
    </sheetView>
  </sheetViews>
  <sheetFormatPr baseColWidth="8" defaultColWidth="14.43" defaultRowHeight="15" customHeight="1"/>
  <cols>
    <col width="26.86" customWidth="1" style="23" min="1" max="1"/>
    <col width="10.43" customWidth="1" style="23" min="2" max="2"/>
    <col width="26.29" customWidth="1" style="23" min="3" max="3"/>
    <col width="23.29" customWidth="1" style="23" min="4" max="4"/>
    <col width="52" customWidth="1" style="23" min="5" max="5"/>
    <col width="29.14" customWidth="1" style="23" min="6" max="6"/>
    <col width="44.14" customWidth="1" style="23" min="7" max="7"/>
    <col width="13.29" customWidth="1" style="23" min="8" max="8"/>
    <col width="15.14" customWidth="1" style="23" min="9" max="9"/>
    <col width="8.859999999999999" customWidth="1" style="23" min="10" max="10"/>
    <col width="10.71" customWidth="1" style="23" min="11" max="11"/>
    <col width="8.859999999999999" customWidth="1" style="23" min="12" max="13"/>
    <col width="14.29" customWidth="1" style="23" min="14" max="14"/>
    <col width="8.859999999999999" customWidth="1" style="23" min="15" max="15"/>
    <col width="18.86" customWidth="1" style="23" min="16" max="16"/>
    <col width="12" customWidth="1" style="23" min="17" max="17"/>
    <col width="17" customWidth="1" style="23" min="18" max="18"/>
    <col width="14.14" customWidth="1" style="23" min="19" max="19"/>
    <col width="10.43" customWidth="1" style="23" min="20" max="20"/>
    <col width="11.86" customWidth="1" style="23" min="21" max="21"/>
    <col width="14.86" customWidth="1" style="23" min="22" max="22"/>
    <col width="29.71" customWidth="1" style="23" min="23" max="23"/>
    <col width="8.859999999999999" customWidth="1" style="23" min="24" max="26"/>
  </cols>
  <sheetData>
    <row r="1">
      <c r="A1" s="1" t="inlineStr">
        <is>
          <t>ID GEI</t>
        </is>
      </c>
      <c r="B1" s="1" t="inlineStr">
        <is>
          <t>Date</t>
        </is>
      </c>
      <c r="C1" s="1" t="inlineStr">
        <is>
          <t>Émetteur (fonction/pays)</t>
        </is>
      </c>
      <c r="D1" s="1" t="inlineStr">
        <is>
          <t>Zone (pays)</t>
        </is>
      </c>
      <c r="E1" s="1" t="inlineStr">
        <is>
          <t>Port / Corridor</t>
        </is>
      </c>
      <c r="F1" s="1" t="inlineStr">
        <is>
          <t>Catégorie</t>
        </is>
      </c>
      <c r="G1" s="1" t="inlineStr">
        <is>
          <t>Résumé court</t>
        </is>
      </c>
      <c r="H1" s="1" t="inlineStr">
        <is>
          <t>Type de source</t>
        </is>
      </c>
      <c r="I1" s="1" t="inlineStr">
        <is>
          <t>Anonymisation</t>
        </is>
      </c>
      <c r="J1" s="1" t="inlineStr">
        <is>
          <t>Fiabilité (A–D)</t>
        </is>
      </c>
      <c r="K1" s="1" t="inlineStr">
        <is>
          <t>Crédibilité (1–4)</t>
        </is>
      </c>
      <c r="L1" s="1" t="inlineStr">
        <is>
          <t>Urgence</t>
        </is>
      </c>
      <c r="M1" s="1" t="inlineStr">
        <is>
          <t>Impact</t>
        </is>
      </c>
      <c r="N1" s="1" t="inlineStr">
        <is>
          <t>Exploitabilité</t>
        </is>
      </c>
      <c r="O1" s="1" t="inlineStr">
        <is>
          <t>Statut</t>
        </is>
      </c>
      <c r="P1" s="1" t="inlineStr">
        <is>
          <t>Transmission (Oui / Non / À valider)</t>
        </is>
      </c>
      <c r="Q1" s="1" t="inlineStr">
        <is>
          <t>Actions en cours</t>
        </is>
      </c>
      <c r="R1" s="1" t="inlineStr">
        <is>
          <t>Pièces (Oui/Non + type)</t>
        </is>
      </c>
      <c r="S1" s="1" t="inlineStr">
        <is>
          <t>Référence documentaire</t>
        </is>
      </c>
      <c r="T1" s="1" t="inlineStr">
        <is>
          <t>Sensibilité</t>
        </is>
      </c>
      <c r="U1" s="1" t="inlineStr">
        <is>
          <t>Dernière MAJ</t>
        </is>
      </c>
      <c r="V1" s="1" t="inlineStr">
        <is>
          <t>Responsable suivi</t>
        </is>
      </c>
      <c r="W1" s="1" t="inlineStr">
        <is>
          <t>Commentaires</t>
        </is>
      </c>
      <c r="X1" s="2" t="n"/>
      <c r="Y1" s="3" t="n"/>
      <c r="Z1" s="3" t="n"/>
    </row>
    <row r="2">
      <c r="A2" s="15" t="inlineStr">
        <is>
          <t>GEI-BEN-2026-001</t>
        </is>
      </c>
      <c r="B2" s="19" t="n">
        <v>46027</v>
      </c>
      <c r="C2" s="15" t="inlineStr">
        <is>
          <t>Point focal Douanes Bénin</t>
        </is>
      </c>
      <c r="D2" s="15" t="inlineStr">
        <is>
          <t>Bénin / Nigeria</t>
        </is>
      </c>
      <c r="E2" s="15" t="inlineStr">
        <is>
          <t>Cotonou</t>
        </is>
      </c>
      <c r="F2" s="15" t="inlineStr">
        <is>
          <t>Transit tabac</t>
        </is>
      </c>
      <c r="G2" s="15" t="inlineStr">
        <is>
          <t>Conteneur CASSIA CIGAR en transit vers le Nigeria.</t>
        </is>
      </c>
      <c r="H2" s="15" t="inlineStr">
        <is>
          <t>Manifeste portuaire</t>
        </is>
      </c>
      <c r="I2" s="15" t="inlineStr">
        <is>
          <t>Oui</t>
        </is>
      </c>
      <c r="J2" s="15" t="inlineStr">
        <is>
          <t>A</t>
        </is>
      </c>
      <c r="K2" s="15" t="n">
        <v>1</v>
      </c>
      <c r="L2" s="15" t="inlineStr">
        <is>
          <t>72h</t>
        </is>
      </c>
      <c r="M2" s="15" t="inlineStr">
        <is>
          <t>Élevé</t>
        </is>
      </c>
      <c r="N2" s="15" t="inlineStr">
        <is>
          <t>Actionnable</t>
        </is>
      </c>
      <c r="O2" s="15" t="inlineStr">
        <is>
          <t>En cours</t>
        </is>
      </c>
      <c r="P2" s="15" t="inlineStr">
        <is>
          <t>Oui</t>
        </is>
      </c>
      <c r="Q2" s="15" t="inlineStr">
        <is>
          <t>Vérification du transit effectif</t>
        </is>
      </c>
      <c r="R2" s="15" t="inlineStr">
        <is>
          <t>Oui – manifeste</t>
        </is>
      </c>
      <c r="S2" s="15" t="inlineStr">
        <is>
          <t>ALT-BJA02-2026-001</t>
        </is>
      </c>
      <c r="T2" s="15" t="inlineStr">
        <is>
          <t>Restreinte</t>
        </is>
      </c>
      <c r="U2" s="19" t="n">
        <v>46194</v>
      </c>
      <c r="V2" s="15" t="inlineStr">
        <is>
          <t>PF Bénin</t>
        </is>
      </c>
      <c r="W2" s="15" t="inlineStr">
        <is>
          <t>Contrôle recommandé à la sortie du port.</t>
        </is>
      </c>
      <c r="X2" s="6" t="n"/>
      <c r="Y2" s="7" t="n"/>
      <c r="Z2" s="7" t="n"/>
    </row>
    <row r="3">
      <c r="A3" s="15" t="inlineStr">
        <is>
          <t>GEI-BEN-2026-002</t>
        </is>
      </c>
      <c r="B3" s="19" t="n">
        <v>46096</v>
      </c>
      <c r="C3" s="15" t="inlineStr">
        <is>
          <t>Point focal Douanes Bénin</t>
        </is>
      </c>
      <c r="D3" s="15" t="inlineStr">
        <is>
          <t>Bénin / Nigeria</t>
        </is>
      </c>
      <c r="E3" s="15" t="inlineStr">
        <is>
          <t>Cotonou</t>
        </is>
      </c>
      <c r="F3" s="15" t="inlineStr">
        <is>
          <t>Transit tabac</t>
        </is>
      </c>
      <c r="G3" s="15" t="inlineStr">
        <is>
          <t>Trois conteneurs ESSE EDGE expédiés par BLACKHORSE TOBACCO FZE vers Kano FTZ.</t>
        </is>
      </c>
      <c r="H3" s="15" t="inlineStr">
        <is>
          <t>Manifeste portuaire</t>
        </is>
      </c>
      <c r="I3" s="15" t="inlineStr">
        <is>
          <t>Oui</t>
        </is>
      </c>
      <c r="J3" s="15" t="inlineStr">
        <is>
          <t>A</t>
        </is>
      </c>
      <c r="K3" s="15" t="n">
        <v>1</v>
      </c>
      <c r="L3" s="15" t="inlineStr">
        <is>
          <t>72h</t>
        </is>
      </c>
      <c r="M3" s="15" t="inlineStr">
        <is>
          <t>Élevé</t>
        </is>
      </c>
      <c r="N3" s="15" t="inlineStr">
        <is>
          <t>Actionnable</t>
        </is>
      </c>
      <c r="O3" s="15" t="inlineStr">
        <is>
          <t>En cours</t>
        </is>
      </c>
      <c r="P3" s="15" t="inlineStr">
        <is>
          <t>Oui</t>
        </is>
      </c>
      <c r="Q3" s="15" t="inlineStr">
        <is>
          <t>Vérification du transit</t>
        </is>
      </c>
      <c r="R3" s="15" t="inlineStr">
        <is>
          <t>Oui – manifeste</t>
        </is>
      </c>
      <c r="S3" s="15" t="inlineStr">
        <is>
          <t>ALT-BJA02-2026-002</t>
        </is>
      </c>
      <c r="T3" s="15" t="inlineStr">
        <is>
          <t>Restreinte</t>
        </is>
      </c>
      <c r="U3" s="19" t="n">
        <v>46194</v>
      </c>
      <c r="V3" s="15" t="inlineStr">
        <is>
          <t>PF Bénin</t>
        </is>
      </c>
      <c r="W3" s="15" t="inlineStr">
        <is>
          <t>Première opération identifiée impliquant BLACKHORSE TOBACCO FZE.</t>
        </is>
      </c>
      <c r="X3" s="6" t="n"/>
      <c r="Y3" s="7" t="n"/>
      <c r="Z3" s="7" t="n"/>
    </row>
    <row r="4">
      <c r="A4" s="15" t="inlineStr">
        <is>
          <t>GEI-BEN-2026-003</t>
        </is>
      </c>
      <c r="B4" s="19" t="n">
        <v>46115</v>
      </c>
      <c r="C4" s="15" t="inlineStr">
        <is>
          <t>Point focal Douanes Bénin</t>
        </is>
      </c>
      <c r="D4" s="15" t="inlineStr">
        <is>
          <t>Bénin / Niger</t>
        </is>
      </c>
      <c r="E4" s="15" t="inlineStr">
        <is>
          <t>Cotonou – Sonahoulou</t>
        </is>
      </c>
      <c r="F4" s="15" t="inlineStr">
        <is>
          <t>Transit tabac</t>
        </is>
      </c>
      <c r="G4" s="15" t="inlineStr">
        <is>
          <t>Arrivée de 14 conteneurs de cigarettes à destination du Niger.</t>
        </is>
      </c>
      <c r="H4" s="15" t="inlineStr">
        <is>
          <t>Manifeste portuaire</t>
        </is>
      </c>
      <c r="I4" s="15" t="inlineStr">
        <is>
          <t>Oui</t>
        </is>
      </c>
      <c r="J4" s="15" t="inlineStr">
        <is>
          <t>A</t>
        </is>
      </c>
      <c r="K4" s="15" t="n">
        <v>1</v>
      </c>
      <c r="L4" s="15" t="inlineStr">
        <is>
          <t>Immédiat</t>
        </is>
      </c>
      <c r="M4" s="15" t="inlineStr">
        <is>
          <t>Élevé</t>
        </is>
      </c>
      <c r="N4" s="15" t="inlineStr">
        <is>
          <t>Actionnable</t>
        </is>
      </c>
      <c r="O4" s="15" t="inlineStr">
        <is>
          <t>En cours</t>
        </is>
      </c>
      <c r="P4" s="15" t="inlineStr">
        <is>
          <t>Oui</t>
        </is>
      </c>
      <c r="Q4" s="15" t="inlineStr">
        <is>
          <t>Contrôle physique prioritaire</t>
        </is>
      </c>
      <c r="R4" s="15" t="inlineStr">
        <is>
          <t>Oui – manifeste</t>
        </is>
      </c>
      <c r="S4" s="15" t="inlineStr">
        <is>
          <t>ALT-BJA02-2026-003</t>
        </is>
      </c>
      <c r="T4" s="15" t="inlineStr">
        <is>
          <t>Confidentielle</t>
        </is>
      </c>
      <c r="U4" s="19" t="n">
        <v>46194</v>
      </c>
      <c r="V4" s="15" t="inlineStr">
        <is>
          <t>PF Bénin</t>
        </is>
      </c>
      <c r="W4" s="15" t="inlineStr">
        <is>
          <t>Volume exceptionnel nécessitant un suivi renforcé.</t>
        </is>
      </c>
      <c r="X4" s="6" t="n"/>
      <c r="Y4" s="7" t="n"/>
      <c r="Z4" s="7" t="n"/>
    </row>
    <row r="5">
      <c r="A5" s="15" t="inlineStr">
        <is>
          <t>GEI-BEN-2026-004</t>
        </is>
      </c>
      <c r="B5" s="19" t="n">
        <v>46115</v>
      </c>
      <c r="C5" s="15" t="inlineStr">
        <is>
          <t>Point focal Douanes Bénin</t>
        </is>
      </c>
      <c r="D5" s="15" t="inlineStr">
        <is>
          <t>Bénin / Nigeria</t>
        </is>
      </c>
      <c r="E5" s="15" t="inlineStr">
        <is>
          <t>Cotonou</t>
        </is>
      </c>
      <c r="F5" s="15" t="inlineStr">
        <is>
          <t>Tabac brut</t>
        </is>
      </c>
      <c r="G5" s="15" t="inlineStr">
        <is>
          <t>Cinq conteneurs de tabac brut en provenance de Lomé et destinés au Nigeria.</t>
        </is>
      </c>
      <c r="H5" s="15" t="inlineStr">
        <is>
          <t>Manifeste portuaire</t>
        </is>
      </c>
      <c r="I5" s="15" t="inlineStr">
        <is>
          <t>Oui</t>
        </is>
      </c>
      <c r="J5" s="15" t="inlineStr">
        <is>
          <t>A</t>
        </is>
      </c>
      <c r="K5" s="15" t="n">
        <v>2</v>
      </c>
      <c r="L5" s="15" t="inlineStr">
        <is>
          <t>72h</t>
        </is>
      </c>
      <c r="M5" s="15" t="inlineStr">
        <is>
          <t>Moyen</t>
        </is>
      </c>
      <c r="N5" s="15" t="inlineStr">
        <is>
          <t>À compléter</t>
        </is>
      </c>
      <c r="O5" s="15" t="inlineStr">
        <is>
          <t>Transmis</t>
        </is>
      </c>
      <c r="P5" s="15" t="inlineStr">
        <is>
          <t>Oui</t>
        </is>
      </c>
      <c r="Q5" s="15" t="inlineStr">
        <is>
          <t>Vérification de l'usage final</t>
        </is>
      </c>
      <c r="R5" s="15" t="inlineStr">
        <is>
          <t>Oui – manifeste</t>
        </is>
      </c>
      <c r="S5" s="15" t="inlineStr">
        <is>
          <t>ALT-BJA02-2026-004</t>
        </is>
      </c>
      <c r="T5" s="15" t="inlineStr">
        <is>
          <t>Interne</t>
        </is>
      </c>
      <c r="U5" s="19" t="n">
        <v>46194</v>
      </c>
      <c r="V5" s="15" t="inlineStr">
        <is>
          <t>PF Bénin</t>
        </is>
      </c>
      <c r="W5" s="15" t="inlineStr">
        <is>
          <t>Destinataire « To the Order Of » à identifier.</t>
        </is>
      </c>
      <c r="X5" s="6" t="n"/>
      <c r="Y5" s="7" t="n"/>
      <c r="Z5" s="7" t="n"/>
    </row>
    <row r="6">
      <c r="A6" s="15" t="inlineStr">
        <is>
          <t>GEI-BEN-2026-005</t>
        </is>
      </c>
      <c r="B6" s="19" t="n">
        <v>46158</v>
      </c>
      <c r="C6" s="15" t="inlineStr">
        <is>
          <t>Point focal Douanes Bénin</t>
        </is>
      </c>
      <c r="D6" s="15" t="inlineStr">
        <is>
          <t>Bénin / Nigeria</t>
        </is>
      </c>
      <c r="E6" s="15" t="inlineStr">
        <is>
          <t>Cotonou</t>
        </is>
      </c>
      <c r="F6" s="15" t="inlineStr">
        <is>
          <t>Transit tabac</t>
        </is>
      </c>
      <c r="G6" s="15" t="inlineStr">
        <is>
          <t>Deux conteneurs ESSE et BOHEM destinés à Kano FTZ.</t>
        </is>
      </c>
      <c r="H6" s="15" t="inlineStr">
        <is>
          <t>Manifeste portuaire</t>
        </is>
      </c>
      <c r="I6" s="15" t="inlineStr">
        <is>
          <t>Oui</t>
        </is>
      </c>
      <c r="J6" s="15" t="inlineStr">
        <is>
          <t>A</t>
        </is>
      </c>
      <c r="K6" s="15" t="n">
        <v>1</v>
      </c>
      <c r="L6" s="15" t="inlineStr">
        <is>
          <t>72h</t>
        </is>
      </c>
      <c r="M6" s="15" t="inlineStr">
        <is>
          <t>Élevé</t>
        </is>
      </c>
      <c r="N6" s="15" t="inlineStr">
        <is>
          <t>Actionnable</t>
        </is>
      </c>
      <c r="O6" s="15" t="inlineStr">
        <is>
          <t>En cours</t>
        </is>
      </c>
      <c r="P6" s="15" t="inlineStr">
        <is>
          <t>Oui</t>
        </is>
      </c>
      <c r="Q6" s="15" t="inlineStr">
        <is>
          <t>Vérification du transit effectif</t>
        </is>
      </c>
      <c r="R6" s="15" t="inlineStr">
        <is>
          <t>Oui – manifeste</t>
        </is>
      </c>
      <c r="S6" s="15" t="inlineStr">
        <is>
          <t>ALT-BJA02-2026-005</t>
        </is>
      </c>
      <c r="T6" s="15" t="inlineStr">
        <is>
          <t>Restreinte</t>
        </is>
      </c>
      <c r="U6" s="19" t="n">
        <v>46194</v>
      </c>
      <c r="V6" s="15" t="inlineStr">
        <is>
          <t>PF Bénin</t>
        </is>
      </c>
      <c r="W6" s="15" t="inlineStr">
        <is>
          <t>Troisième opération impliquant BLACKHORSE TOBACCO FZE.</t>
        </is>
      </c>
      <c r="X6" s="7" t="n"/>
      <c r="Y6" s="7" t="n"/>
      <c r="Z6" s="7" t="n"/>
    </row>
    <row r="7">
      <c r="A7" s="15" t="inlineStr">
        <is>
          <t>GEI-BEN-2026-006</t>
        </is>
      </c>
      <c r="B7" s="19" t="n">
        <v>46065</v>
      </c>
      <c r="C7" s="15" t="inlineStr">
        <is>
          <t>Point focal Douanes Bénin</t>
        </is>
      </c>
      <c r="D7" s="15" t="inlineStr">
        <is>
          <t>Bénin / Burkina Faso</t>
        </is>
      </c>
      <c r="E7" s="15" t="inlineStr">
        <is>
          <t>Sèmè – Sonahoulou</t>
        </is>
      </c>
      <c r="F7" s="15" t="inlineStr">
        <is>
          <t>Transit cigarettes</t>
        </is>
      </c>
      <c r="G7" s="8" t="inlineStr">
        <is>
          <t>Exportation de 3 300 cartons CRAVEN A et CLICK vers le Burkina Faso.</t>
        </is>
      </c>
      <c r="H7" s="15" t="inlineStr">
        <is>
          <t>Déclaration douanière</t>
        </is>
      </c>
      <c r="I7" s="15" t="inlineStr">
        <is>
          <t>Oui</t>
        </is>
      </c>
      <c r="J7" s="15" t="inlineStr">
        <is>
          <t>C</t>
        </is>
      </c>
      <c r="K7" s="15" t="n">
        <v>2</v>
      </c>
      <c r="L7" s="15" t="inlineStr">
        <is>
          <t>72h</t>
        </is>
      </c>
      <c r="M7" s="15" t="inlineStr">
        <is>
          <t>Élevé</t>
        </is>
      </c>
      <c r="N7" s="15" t="inlineStr">
        <is>
          <t>Actionnable</t>
        </is>
      </c>
      <c r="O7" s="15" t="inlineStr">
        <is>
          <t>En cours d'analyse</t>
        </is>
      </c>
      <c r="P7" s="15" t="inlineStr">
        <is>
          <t>Oui</t>
        </is>
      </c>
      <c r="Q7" s="15" t="inlineStr">
        <is>
          <t>Surveillance du corridor</t>
        </is>
      </c>
      <c r="R7" s="15" t="inlineStr">
        <is>
          <t>Oui – déclaration</t>
        </is>
      </c>
      <c r="S7" s="15" t="inlineStr">
        <is>
          <t>AL-2026-BJA02-S679</t>
        </is>
      </c>
      <c r="T7" s="15" t="inlineStr">
        <is>
          <t>Restreinte</t>
        </is>
      </c>
      <c r="U7" s="19" t="n">
        <v>46194</v>
      </c>
      <c r="V7" s="15" t="inlineStr">
        <is>
          <t>PF Bénin</t>
        </is>
      </c>
      <c r="W7" s="15" t="inlineStr">
        <is>
          <t>Exportateur anonyme et corridor sensible.</t>
        </is>
      </c>
      <c r="X7" s="7" t="n"/>
      <c r="Y7" s="7" t="n"/>
      <c r="Z7" s="7" t="n"/>
    </row>
    <row r="8">
      <c r="A8" s="15" t="inlineStr">
        <is>
          <t>GEI-BEN-2026-007</t>
        </is>
      </c>
      <c r="B8" s="19" t="n">
        <v>46104</v>
      </c>
      <c r="C8" s="15" t="inlineStr">
        <is>
          <t>Point focal Douanes Bénin</t>
        </is>
      </c>
      <c r="D8" s="15" t="inlineStr">
        <is>
          <t>Bénin / Côte d'Ivoire</t>
        </is>
      </c>
      <c r="E8" s="15" t="inlineStr">
        <is>
          <t>Sèmè – Hilla Condji</t>
        </is>
      </c>
      <c r="F8" s="15" t="inlineStr">
        <is>
          <t>Transit cigarettes</t>
        </is>
      </c>
      <c r="G8" s="9" t="inlineStr">
        <is>
          <t>500 cartons YES INTERNATIONAL et ALL STAR MINT vers la Côte d'Ivoire.</t>
        </is>
      </c>
      <c r="H8" s="15" t="inlineStr">
        <is>
          <t>Déclaration douanière</t>
        </is>
      </c>
      <c r="I8" s="15" t="inlineStr">
        <is>
          <t>Oui</t>
        </is>
      </c>
      <c r="J8" s="15" t="inlineStr">
        <is>
          <t>B</t>
        </is>
      </c>
      <c r="K8" s="15" t="n">
        <v>2</v>
      </c>
      <c r="L8" s="15" t="inlineStr">
        <is>
          <t>72h</t>
        </is>
      </c>
      <c r="M8" s="15" t="inlineStr">
        <is>
          <t>Élevé</t>
        </is>
      </c>
      <c r="N8" s="15" t="inlineStr">
        <is>
          <t>Actionnable</t>
        </is>
      </c>
      <c r="O8" s="15" t="inlineStr">
        <is>
          <t>En cours d'analyse</t>
        </is>
      </c>
      <c r="P8" s="15" t="inlineStr">
        <is>
          <t>Oui</t>
        </is>
      </c>
      <c r="Q8" s="15" t="inlineStr">
        <is>
          <t>Suivi du corridor régional</t>
        </is>
      </c>
      <c r="R8" s="15" t="inlineStr">
        <is>
          <t>Oui – déclaration</t>
        </is>
      </c>
      <c r="S8" s="15" t="inlineStr">
        <is>
          <t>AL-2026-BJA02-S1332</t>
        </is>
      </c>
      <c r="T8" s="15" t="inlineStr">
        <is>
          <t>Restreinte</t>
        </is>
      </c>
      <c r="U8" s="19" t="n">
        <v>46194</v>
      </c>
      <c r="V8" s="15" t="inlineStr">
        <is>
          <t>PF Bénin</t>
        </is>
      </c>
      <c r="W8" s="15" t="inlineStr">
        <is>
          <t>Premier signalement du dossier YES / ALL STARS.</t>
        </is>
      </c>
      <c r="X8" s="7" t="n"/>
      <c r="Y8" s="7" t="n"/>
      <c r="Z8" s="7" t="n"/>
    </row>
    <row r="9">
      <c r="A9" s="15" t="inlineStr">
        <is>
          <t>GEI-BEN-2026-008</t>
        </is>
      </c>
      <c r="B9" s="19" t="n">
        <v>46099</v>
      </c>
      <c r="C9" s="15" t="inlineStr">
        <is>
          <t>Point focal Douanes Bénin</t>
        </is>
      </c>
      <c r="D9" s="15" t="inlineStr">
        <is>
          <t>Bénin / Nigeria</t>
        </is>
      </c>
      <c r="E9" s="15" t="inlineStr">
        <is>
          <t>Cotonou – Segbana</t>
        </is>
      </c>
      <c r="F9" s="15" t="inlineStr">
        <is>
          <t>Transit cigarettes</t>
        </is>
      </c>
      <c r="G9" s="15" t="inlineStr">
        <is>
          <t>Conteneur TGBU1319913 de cigarettes origine EAU à destination du Nigeria.</t>
        </is>
      </c>
      <c r="H9" s="15" t="inlineStr">
        <is>
          <t>Déclaration douanière</t>
        </is>
      </c>
      <c r="I9" s="15" t="inlineStr">
        <is>
          <t>Oui</t>
        </is>
      </c>
      <c r="J9" s="15" t="inlineStr">
        <is>
          <t>C</t>
        </is>
      </c>
      <c r="K9" s="15" t="n">
        <v>2</v>
      </c>
      <c r="L9" s="15" t="inlineStr">
        <is>
          <t>72h</t>
        </is>
      </c>
      <c r="M9" s="15" t="inlineStr">
        <is>
          <t>Élevé</t>
        </is>
      </c>
      <c r="N9" s="15" t="inlineStr">
        <is>
          <t>Actionnable</t>
        </is>
      </c>
      <c r="O9" s="15" t="inlineStr">
        <is>
          <t>En cours d'analyse</t>
        </is>
      </c>
      <c r="P9" s="15" t="inlineStr">
        <is>
          <t>Oui</t>
        </is>
      </c>
      <c r="Q9" s="15" t="inlineStr">
        <is>
          <t>Vérifications complémentaires</t>
        </is>
      </c>
      <c r="R9" s="15" t="inlineStr">
        <is>
          <t>Oui – déclaration</t>
        </is>
      </c>
      <c r="S9" s="15" t="inlineStr">
        <is>
          <t>AL-2026-BJB01-S6217</t>
        </is>
      </c>
      <c r="T9" s="15" t="inlineStr">
        <is>
          <t>Restreinte</t>
        </is>
      </c>
      <c r="U9" s="19" t="n">
        <v>46194</v>
      </c>
      <c r="V9" s="15" t="inlineStr">
        <is>
          <t>PF Bénin</t>
        </is>
      </c>
      <c r="W9" s="15" t="inlineStr">
        <is>
          <t>Conteneur open-top et opérateur peu identifié.</t>
        </is>
      </c>
      <c r="X9" s="7" t="n"/>
      <c r="Y9" s="7" t="n"/>
      <c r="Z9" s="7" t="n"/>
    </row>
    <row r="10">
      <c r="A10" s="15" t="inlineStr">
        <is>
          <t>GEI-BEN-2026-009</t>
        </is>
      </c>
      <c r="B10" s="19" t="n">
        <v>46142</v>
      </c>
      <c r="C10" s="15" t="inlineStr">
        <is>
          <t>Point focal Douanes Bénin</t>
        </is>
      </c>
      <c r="D10" s="15" t="inlineStr">
        <is>
          <t>Bénin</t>
        </is>
      </c>
      <c r="E10" s="15" t="inlineStr">
        <is>
          <t>Cotonou</t>
        </is>
      </c>
      <c r="F10" s="15" t="inlineStr">
        <is>
          <t>Importation tabac</t>
        </is>
      </c>
      <c r="G10" s="15" t="inlineStr">
        <is>
          <t>Importation de 1 291 cartons BUSINESS ROYALS SLIMS en provenance des EAU.</t>
        </is>
      </c>
      <c r="H10" s="15" t="inlineStr">
        <is>
          <t>Déclaration douanière</t>
        </is>
      </c>
      <c r="I10" s="15" t="inlineStr">
        <is>
          <t>Oui</t>
        </is>
      </c>
      <c r="J10" s="15" t="inlineStr">
        <is>
          <t>B</t>
        </is>
      </c>
      <c r="K10" s="15" t="n">
        <v>2</v>
      </c>
      <c r="L10" s="15" t="inlineStr">
        <is>
          <t>72h</t>
        </is>
      </c>
      <c r="M10" s="15" t="inlineStr">
        <is>
          <t>Élevé</t>
        </is>
      </c>
      <c r="N10" s="15" t="inlineStr">
        <is>
          <t>Actionnable</t>
        </is>
      </c>
      <c r="O10" s="15" t="inlineStr">
        <is>
          <t>En cours d'analyse</t>
        </is>
      </c>
      <c r="P10" s="15" t="inlineStr">
        <is>
          <t>Oui</t>
        </is>
      </c>
      <c r="Q10" s="15" t="inlineStr">
        <is>
          <t>Contrôle documentaire</t>
        </is>
      </c>
      <c r="R10" s="15" t="inlineStr">
        <is>
          <t>Oui – déclaration</t>
        </is>
      </c>
      <c r="S10" s="15" t="inlineStr">
        <is>
          <t>AL-2026-BJB01-C14225</t>
        </is>
      </c>
      <c r="T10" s="15" t="inlineStr">
        <is>
          <t>Restreinte</t>
        </is>
      </c>
      <c r="U10" s="19" t="n">
        <v>46194</v>
      </c>
      <c r="V10" s="15" t="inlineStr">
        <is>
          <t>PF Bénin</t>
        </is>
      </c>
      <c r="W10" s="15" t="inlineStr">
        <is>
          <t>Destinataire atypique « Niger Briques ».</t>
        </is>
      </c>
      <c r="X10" s="7" t="n"/>
      <c r="Y10" s="7" t="n"/>
      <c r="Z10" s="7" t="n"/>
    </row>
    <row r="11">
      <c r="A11" s="15" t="inlineStr">
        <is>
          <t>GEI-BEN-2026-010</t>
        </is>
      </c>
      <c r="B11" s="19" t="n">
        <v>46185</v>
      </c>
      <c r="C11" s="15" t="inlineStr">
        <is>
          <t>Point focal Douanes Bénin</t>
        </is>
      </c>
      <c r="D11" s="15" t="inlineStr">
        <is>
          <t>Bénin / Niger</t>
        </is>
      </c>
      <c r="E11" s="15" t="inlineStr">
        <is>
          <t>Athiémé – Malanville</t>
        </is>
      </c>
      <c r="F11" s="15" t="inlineStr">
        <is>
          <t>Tabac manufacturé</t>
        </is>
      </c>
      <c r="G11" s="15" t="inlineStr">
        <is>
          <t>Importation de tabac manufacturé à destination de Malanville.</t>
        </is>
      </c>
      <c r="H11" s="15" t="inlineStr">
        <is>
          <t>Déclaration douanière</t>
        </is>
      </c>
      <c r="I11" s="15" t="inlineStr">
        <is>
          <t>Oui</t>
        </is>
      </c>
      <c r="J11" s="15" t="inlineStr">
        <is>
          <t>B</t>
        </is>
      </c>
      <c r="K11" s="15" t="n">
        <v>2</v>
      </c>
      <c r="L11" s="15" t="inlineStr">
        <is>
          <t>72h</t>
        </is>
      </c>
      <c r="M11" s="15" t="inlineStr">
        <is>
          <t>Élevé</t>
        </is>
      </c>
      <c r="N11" s="15" t="inlineStr">
        <is>
          <t>Actionnable</t>
        </is>
      </c>
      <c r="O11" s="15" t="inlineStr">
        <is>
          <t>En cours d'analyse</t>
        </is>
      </c>
      <c r="P11" s="15" t="inlineStr">
        <is>
          <t>Oui</t>
        </is>
      </c>
      <c r="Q11" s="15" t="inlineStr">
        <is>
          <t>Vérification de la valorisation</t>
        </is>
      </c>
      <c r="R11" s="15" t="inlineStr">
        <is>
          <t>Oui – déclaration</t>
        </is>
      </c>
      <c r="S11" s="15" t="inlineStr">
        <is>
          <t>AL-2026-BJC03-C2421</t>
        </is>
      </c>
      <c r="T11" s="15" t="inlineStr">
        <is>
          <t>Restreinte</t>
        </is>
      </c>
      <c r="U11" s="19" t="n">
        <v>46194</v>
      </c>
      <c r="V11" s="15" t="inlineStr">
        <is>
          <t>PF Bénin</t>
        </is>
      </c>
      <c r="W11" s="15" t="inlineStr">
        <is>
          <t>Sous-évaluation apparente et destination sensible.</t>
        </is>
      </c>
      <c r="X11" s="7" t="n"/>
      <c r="Y11" s="7" t="n"/>
      <c r="Z11" s="7" t="n"/>
    </row>
    <row r="12">
      <c r="A12" s="15" t="inlineStr">
        <is>
          <t>GEI-BEN-2026-011</t>
        </is>
      </c>
      <c r="B12" s="19" t="n">
        <v>46159</v>
      </c>
      <c r="C12" s="15" t="inlineStr">
        <is>
          <t>Point focal Douanes Bénin</t>
        </is>
      </c>
      <c r="D12" s="15" t="inlineStr">
        <is>
          <t>Bénin</t>
        </is>
      </c>
      <c r="E12" s="15" t="inlineStr">
        <is>
          <t>Cotonou</t>
        </is>
      </c>
      <c r="F12" s="15" t="inlineStr">
        <is>
          <t>Signal faible statistique</t>
        </is>
      </c>
      <c r="G12" s="15" t="inlineStr">
        <is>
          <t>Concentration inhabituelle d'importations de cigarettes DELACRE par EREVAN BENIN SA entre janvier et février 2026.</t>
        </is>
      </c>
      <c r="H12" s="15" t="inlineStr">
        <is>
          <t>Statistiques douanières</t>
        </is>
      </c>
      <c r="I12" s="15" t="inlineStr">
        <is>
          <t>Oui</t>
        </is>
      </c>
      <c r="J12" s="15" t="inlineStr">
        <is>
          <t>A</t>
        </is>
      </c>
      <c r="K12" s="15" t="n">
        <v>2</v>
      </c>
      <c r="L12" s="15" t="inlineStr">
        <is>
          <t>Routine</t>
        </is>
      </c>
      <c r="M12" s="15" t="inlineStr">
        <is>
          <t>Moyen</t>
        </is>
      </c>
      <c r="N12" s="15" t="inlineStr">
        <is>
          <t>À analyser</t>
        </is>
      </c>
      <c r="O12" s="15" t="inlineStr">
        <is>
          <t>Ouvert</t>
        </is>
      </c>
      <c r="P12" s="15" t="inlineStr">
        <is>
          <t>Non</t>
        </is>
      </c>
      <c r="Q12" s="15" t="inlineStr">
        <is>
          <t>Analyse des volumes et du marché</t>
        </is>
      </c>
      <c r="R12" s="15" t="inlineStr">
        <is>
          <t>Oui – statistiques SYDONIA</t>
        </is>
      </c>
      <c r="S12" s="15" t="inlineStr">
        <is>
          <t>STAT-BEN-2026-DELACRE</t>
        </is>
      </c>
      <c r="T12" s="15" t="inlineStr">
        <is>
          <t>Interne</t>
        </is>
      </c>
      <c r="U12" s="19" t="n">
        <v>46194</v>
      </c>
      <c r="V12" s="15" t="inlineStr">
        <is>
          <t>PF Bénin</t>
        </is>
      </c>
      <c r="W12" s="15" t="inlineStr">
        <is>
          <t>Plus de 46 000 colis cumulés sur la période, nécessitant une analyse de cohérence avec le marché béninois.</t>
        </is>
      </c>
      <c r="X12" s="7" t="n"/>
      <c r="Y12" s="7" t="n"/>
      <c r="Z12" s="7" t="n"/>
    </row>
    <row r="13">
      <c r="A13" s="15" t="inlineStr">
        <is>
          <t>GEI-BEN-2026-012</t>
        </is>
      </c>
      <c r="B13" s="19" t="n">
        <v>46126</v>
      </c>
      <c r="C13" s="15" t="inlineStr">
        <is>
          <t>Point focal Douanes Bénin</t>
        </is>
      </c>
      <c r="D13" s="15" t="inlineStr">
        <is>
          <t>Bénin / Burkina Faso</t>
        </is>
      </c>
      <c r="E13" s="15" t="inlineStr">
        <is>
          <t>Sèmè – Sonahoulou</t>
        </is>
      </c>
      <c r="F13" s="15" t="inlineStr">
        <is>
          <t>Transit cigarettes</t>
        </is>
      </c>
      <c r="G13" s="10" t="inlineStr">
        <is>
          <t>Nouvelle expédition de cigarettes à destination du Burkina Faso via SOCIKAF, confirmant la récurrence du corridor Nigeria–Bénin–Burkina Faso.</t>
        </is>
      </c>
      <c r="H13" s="15" t="inlineStr">
        <is>
          <t>Déclaration douanière</t>
        </is>
      </c>
      <c r="I13" s="15" t="inlineStr">
        <is>
          <t>Oui</t>
        </is>
      </c>
      <c r="J13" s="15" t="inlineStr">
        <is>
          <t>C</t>
        </is>
      </c>
      <c r="K13" s="15" t="n">
        <v>2</v>
      </c>
      <c r="L13" s="10" t="inlineStr">
        <is>
          <t>72h</t>
        </is>
      </c>
      <c r="M13" s="15" t="inlineStr">
        <is>
          <t>Élevé</t>
        </is>
      </c>
      <c r="N13" s="15" t="inlineStr">
        <is>
          <t>Actionnable</t>
        </is>
      </c>
      <c r="O13" s="15" t="inlineStr">
        <is>
          <t>En cours d'analyse</t>
        </is>
      </c>
      <c r="P13" s="15" t="inlineStr">
        <is>
          <t>Oui</t>
        </is>
      </c>
      <c r="Q13" s="10" t="inlineStr">
        <is>
          <t>Surveillance du corridor et des opérateurs impliqués</t>
        </is>
      </c>
      <c r="R13" s="15" t="inlineStr">
        <is>
          <t>Oui – déclaration douanière</t>
        </is>
      </c>
      <c r="S13" s="15" t="inlineStr">
        <is>
          <t>AL-2026-BJA02-S1732</t>
        </is>
      </c>
      <c r="T13" s="15" t="inlineStr">
        <is>
          <t>Restreinte</t>
        </is>
      </c>
      <c r="U13" s="19" t="n">
        <v>46194</v>
      </c>
      <c r="V13" s="10" t="inlineStr">
        <is>
          <t>PF Bénin</t>
        </is>
      </c>
      <c r="W13" s="15" t="inlineStr">
        <is>
          <t>Deuxième opération documentée impliquant SOCIKAF et le véhicule FFA808XB. Cette alerte confirme la récurrence des flux observés dans l'alerte AL-2026-BJA02-S679 tout en constituant un événement distinct devant être comptabilisé dans le KPI « alertes collectées ».</t>
        </is>
      </c>
      <c r="X13" s="7" t="n"/>
      <c r="Y13" s="7" t="n"/>
      <c r="Z13" s="7" t="n"/>
    </row>
    <row r="14">
      <c r="A14" s="15" t="inlineStr">
        <is>
          <t>GEI-TGO-2026-002</t>
        </is>
      </c>
      <c r="B14" s="10" t="n">
        <v>46044</v>
      </c>
      <c r="C14" s="15" t="inlineStr">
        <is>
          <t>Point focal Togo</t>
        </is>
      </c>
      <c r="D14" s="15" t="inlineStr">
        <is>
          <t>Togo</t>
        </is>
      </c>
      <c r="E14" s="15" t="inlineStr">
        <is>
          <t>Port de Lomé</t>
        </is>
      </c>
      <c r="F14" s="15" t="inlineStr">
        <is>
          <t>Importation tabac</t>
        </is>
      </c>
      <c r="G14" s="15" t="inlineStr">
        <is>
          <t>1100 Craven A, 2200 Rothmans Royals et 1100 Concorde destinés au distributeur agréé Champion.</t>
        </is>
      </c>
      <c r="H14" s="15" t="inlineStr">
        <is>
          <t>Source portuaire</t>
        </is>
      </c>
      <c r="I14" s="15" t="inlineStr">
        <is>
          <t>Oui</t>
        </is>
      </c>
      <c r="J14" s="15" t="inlineStr">
        <is>
          <t>A</t>
        </is>
      </c>
      <c r="K14" s="15" t="n">
        <v>1</v>
      </c>
      <c r="L14" s="15" t="inlineStr">
        <is>
          <t>Routine</t>
        </is>
      </c>
      <c r="M14" s="15" t="inlineStr">
        <is>
          <t>Faible</t>
        </is>
      </c>
      <c r="N14" s="15" t="inlineStr">
        <is>
          <t>Archivage</t>
        </is>
      </c>
      <c r="O14" s="15" t="inlineStr">
        <is>
          <t>Clos</t>
        </is>
      </c>
      <c r="P14" s="15" t="inlineStr">
        <is>
          <t>Non</t>
        </is>
      </c>
      <c r="Q14" s="15" t="inlineStr">
        <is>
          <t>Néant</t>
        </is>
      </c>
      <c r="R14" s="15" t="inlineStr">
        <is>
          <t>Oui – documents</t>
        </is>
      </c>
      <c r="S14" s="15" t="inlineStr">
        <is>
          <t>TGO-002</t>
        </is>
      </c>
      <c r="T14" s="15" t="inlineStr">
        <is>
          <t>Interne</t>
        </is>
      </c>
      <c r="U14" s="10" t="n">
        <v>46194</v>
      </c>
      <c r="V14" s="15" t="inlineStr">
        <is>
          <t>PF Togo</t>
        </is>
      </c>
      <c r="W14" s="15" t="inlineStr">
        <is>
          <t>Importation destinée au marché légal togolais.</t>
        </is>
      </c>
    </row>
    <row r="15">
      <c r="A15" s="15" t="inlineStr">
        <is>
          <t>GEI-TGO-2026-003</t>
        </is>
      </c>
      <c r="B15" s="10" t="n">
        <v>46069</v>
      </c>
      <c r="C15" s="15" t="inlineStr">
        <is>
          <t>Point focal Togo</t>
        </is>
      </c>
      <c r="D15" s="15" t="inlineStr">
        <is>
          <t>Togo / Burkina Faso</t>
        </is>
      </c>
      <c r="E15" s="15" t="inlineStr">
        <is>
          <t>Kémérida – Port de Lomé</t>
        </is>
      </c>
      <c r="F15" s="15" t="inlineStr">
        <is>
          <t>Transit tabac</t>
        </is>
      </c>
      <c r="G15" s="8" t="inlineStr">
        <is>
          <t>3300 cartons CRAVEN CLICK « Vente au Burkina Faso » destinés à SOCIKAF.</t>
        </is>
      </c>
      <c r="H15" s="15" t="inlineStr">
        <is>
          <t>Source frontière</t>
        </is>
      </c>
      <c r="I15" s="15" t="inlineStr">
        <is>
          <t>Oui</t>
        </is>
      </c>
      <c r="J15" s="15" t="inlineStr">
        <is>
          <t>A</t>
        </is>
      </c>
      <c r="K15" s="15" t="n">
        <v>1</v>
      </c>
      <c r="L15" s="15" t="inlineStr">
        <is>
          <t>Routine</t>
        </is>
      </c>
      <c r="M15" s="15" t="inlineStr">
        <is>
          <t>Moyen</t>
        </is>
      </c>
      <c r="N15" s="15" t="inlineStr">
        <is>
          <t>À surveiller</t>
        </is>
      </c>
      <c r="O15" s="15" t="inlineStr">
        <is>
          <t>Clos</t>
        </is>
      </c>
      <c r="P15" s="15" t="inlineStr">
        <is>
          <t>Non</t>
        </is>
      </c>
      <c r="Q15" s="15" t="inlineStr">
        <is>
          <t>Suivi documentaire</t>
        </is>
      </c>
      <c r="R15" s="15" t="inlineStr">
        <is>
          <t>Oui – documents</t>
        </is>
      </c>
      <c r="S15" s="15" t="inlineStr">
        <is>
          <t>TGO-003</t>
        </is>
      </c>
      <c r="T15" s="15" t="inlineStr">
        <is>
          <t>Interne</t>
        </is>
      </c>
      <c r="U15" s="10" t="n">
        <v>46194</v>
      </c>
      <c r="V15" s="15" t="inlineStr">
        <is>
          <t>PF Togo</t>
        </is>
      </c>
      <c r="W15" s="15" t="inlineStr">
        <is>
          <t>Flux important à destination du Burkina Faso.</t>
        </is>
      </c>
    </row>
    <row r="16">
      <c r="A16" s="15" t="inlineStr">
        <is>
          <t>GEI-TGO-2026-004</t>
        </is>
      </c>
      <c r="B16" s="10" t="n">
        <v>46070</v>
      </c>
      <c r="C16" s="15" t="inlineStr">
        <is>
          <t>Point focal Togo</t>
        </is>
      </c>
      <c r="D16" s="15" t="inlineStr">
        <is>
          <t>Togo / Burkina Faso</t>
        </is>
      </c>
      <c r="E16" s="15" t="inlineStr">
        <is>
          <t>Port de Lomé</t>
        </is>
      </c>
      <c r="F16" s="15" t="inlineStr">
        <is>
          <t>Transit tabac</t>
        </is>
      </c>
      <c r="G16" s="15" t="inlineStr">
        <is>
          <t>800 cartons MARSHAL « Vente au Burkina Faso » destinés à KGC SARL.</t>
        </is>
      </c>
      <c r="H16" s="15" t="inlineStr">
        <is>
          <t>Source portuaire</t>
        </is>
      </c>
      <c r="I16" s="15" t="inlineStr">
        <is>
          <t>Oui</t>
        </is>
      </c>
      <c r="J16" s="15" t="inlineStr">
        <is>
          <t>A</t>
        </is>
      </c>
      <c r="K16" s="15" t="n">
        <v>1</v>
      </c>
      <c r="L16" s="15" t="inlineStr">
        <is>
          <t>Routine</t>
        </is>
      </c>
      <c r="M16" s="15" t="inlineStr">
        <is>
          <t>Faible</t>
        </is>
      </c>
      <c r="N16" s="15" t="inlineStr">
        <is>
          <t>Archivage</t>
        </is>
      </c>
      <c r="O16" s="15" t="inlineStr">
        <is>
          <t>Clos</t>
        </is>
      </c>
      <c r="P16" s="15" t="inlineStr">
        <is>
          <t>Non</t>
        </is>
      </c>
      <c r="Q16" s="15" t="inlineStr">
        <is>
          <t>Néant</t>
        </is>
      </c>
      <c r="R16" s="15" t="inlineStr">
        <is>
          <t>Oui – documents</t>
        </is>
      </c>
      <c r="S16" s="15" t="inlineStr">
        <is>
          <t>TGO-004</t>
        </is>
      </c>
      <c r="T16" s="15" t="inlineStr">
        <is>
          <t>Interne</t>
        </is>
      </c>
      <c r="U16" s="10" t="n">
        <v>46194</v>
      </c>
      <c r="V16" s="15" t="inlineStr">
        <is>
          <t>PF Togo</t>
        </is>
      </c>
      <c r="W16" s="15" t="inlineStr">
        <is>
          <t>Transit régulier à destination du Burkina Faso.</t>
        </is>
      </c>
    </row>
    <row r="17">
      <c r="A17" s="15" t="inlineStr">
        <is>
          <t>GEI-TGO-2026-005</t>
        </is>
      </c>
      <c r="B17" s="10" t="n">
        <v>46071</v>
      </c>
      <c r="C17" s="15" t="inlineStr">
        <is>
          <t>Point focal Togo</t>
        </is>
      </c>
      <c r="D17" s="15" t="inlineStr">
        <is>
          <t>Togo</t>
        </is>
      </c>
      <c r="E17" s="15" t="inlineStr">
        <is>
          <t>Port de Lomé</t>
        </is>
      </c>
      <c r="F17" s="15" t="inlineStr">
        <is>
          <t>Importation tabac</t>
        </is>
      </c>
      <c r="G17" s="15" t="inlineStr">
        <is>
          <t>1100 cartons Rothmans Royals destinés au distributeur agréé Champion.</t>
        </is>
      </c>
      <c r="H17" s="15" t="inlineStr">
        <is>
          <t>Source portuaire</t>
        </is>
      </c>
      <c r="I17" s="15" t="inlineStr">
        <is>
          <t>Oui</t>
        </is>
      </c>
      <c r="J17" s="15" t="inlineStr">
        <is>
          <t>A</t>
        </is>
      </c>
      <c r="K17" s="15" t="n">
        <v>1</v>
      </c>
      <c r="L17" s="15" t="inlineStr">
        <is>
          <t>Routine</t>
        </is>
      </c>
      <c r="M17" s="15" t="inlineStr">
        <is>
          <t>Faible</t>
        </is>
      </c>
      <c r="N17" s="15" t="inlineStr">
        <is>
          <t>Archivage</t>
        </is>
      </c>
      <c r="O17" s="15" t="inlineStr">
        <is>
          <t>Clos</t>
        </is>
      </c>
      <c r="P17" s="15" t="inlineStr">
        <is>
          <t>Non</t>
        </is>
      </c>
      <c r="Q17" s="15" t="inlineStr">
        <is>
          <t>Néant</t>
        </is>
      </c>
      <c r="R17" s="15" t="inlineStr">
        <is>
          <t>Oui – documents</t>
        </is>
      </c>
      <c r="S17" s="15" t="inlineStr">
        <is>
          <t>TGO-005</t>
        </is>
      </c>
      <c r="T17" s="15" t="inlineStr">
        <is>
          <t>Interne</t>
        </is>
      </c>
      <c r="U17" s="10" t="n">
        <v>46194</v>
      </c>
      <c r="V17" s="15" t="inlineStr">
        <is>
          <t>PF Togo</t>
        </is>
      </c>
      <c r="W17" s="15" t="inlineStr">
        <is>
          <t>Importation légale pour le marché togolais.</t>
        </is>
      </c>
    </row>
    <row r="18">
      <c r="A18" s="15" t="inlineStr">
        <is>
          <t>GEI-TGO-2026-006</t>
        </is>
      </c>
      <c r="B18" s="10" t="n">
        <v>46076</v>
      </c>
      <c r="C18" s="15" t="inlineStr">
        <is>
          <t>Point focal Togo</t>
        </is>
      </c>
      <c r="D18" s="15" t="inlineStr">
        <is>
          <t>Togo</t>
        </is>
      </c>
      <c r="E18" s="15" t="inlineStr">
        <is>
          <t>Port de Lomé</t>
        </is>
      </c>
      <c r="F18" s="15" t="inlineStr">
        <is>
          <t>Importation tabac</t>
        </is>
      </c>
      <c r="G18" s="15" t="inlineStr">
        <is>
          <t>1100 Craven A et 1100 Rothmans Royals destinés au distributeur agréé Champion.</t>
        </is>
      </c>
      <c r="H18" s="15" t="inlineStr">
        <is>
          <t>Source portuaire</t>
        </is>
      </c>
      <c r="I18" s="15" t="inlineStr">
        <is>
          <t>Oui</t>
        </is>
      </c>
      <c r="J18" s="15" t="inlineStr">
        <is>
          <t>A</t>
        </is>
      </c>
      <c r="K18" s="15" t="n">
        <v>1</v>
      </c>
      <c r="L18" s="15" t="inlineStr">
        <is>
          <t>Routine</t>
        </is>
      </c>
      <c r="M18" s="15" t="inlineStr">
        <is>
          <t>Faible</t>
        </is>
      </c>
      <c r="N18" s="15" t="inlineStr">
        <is>
          <t>Archivage</t>
        </is>
      </c>
      <c r="O18" s="15" t="inlineStr">
        <is>
          <t>Clos</t>
        </is>
      </c>
      <c r="P18" s="15" t="inlineStr">
        <is>
          <t>Non</t>
        </is>
      </c>
      <c r="Q18" s="15" t="inlineStr">
        <is>
          <t>Néant</t>
        </is>
      </c>
      <c r="R18" s="15" t="inlineStr">
        <is>
          <t>Oui – documents</t>
        </is>
      </c>
      <c r="S18" s="15" t="inlineStr">
        <is>
          <t>TGO-006</t>
        </is>
      </c>
      <c r="T18" s="15" t="inlineStr">
        <is>
          <t>Interne</t>
        </is>
      </c>
      <c r="U18" s="10" t="n">
        <v>46194</v>
      </c>
      <c r="V18" s="15" t="inlineStr">
        <is>
          <t>PF Togo</t>
        </is>
      </c>
      <c r="W18" s="15" t="inlineStr">
        <is>
          <t>Importation légale enregistrée dans le cadre de la veille marché.</t>
        </is>
      </c>
    </row>
    <row r="19">
      <c r="A19" s="15" t="inlineStr">
        <is>
          <t>GEI-TGO-2026-007</t>
        </is>
      </c>
      <c r="B19" s="10" t="n">
        <v>46107</v>
      </c>
      <c r="C19" s="15" t="inlineStr">
        <is>
          <t>Point focal Togo</t>
        </is>
      </c>
      <c r="D19" s="15" t="inlineStr">
        <is>
          <t>Togo / Ghana / Côte d'Ivoire</t>
        </is>
      </c>
      <c r="E19" s="15" t="inlineStr">
        <is>
          <t>Hilla Condji – Segbé</t>
        </is>
      </c>
      <c r="F19" s="15" t="inlineStr">
        <is>
          <t>Transit tabac</t>
        </is>
      </c>
      <c r="G19" s="9" t="inlineStr">
        <is>
          <t>500 cartons ALL STARS et YES destinés à la Côte d'Ivoire.</t>
        </is>
      </c>
      <c r="H19" s="15" t="inlineStr">
        <is>
          <t>Source frontière</t>
        </is>
      </c>
      <c r="I19" s="15" t="inlineStr">
        <is>
          <t>Oui</t>
        </is>
      </c>
      <c r="J19" s="15" t="inlineStr">
        <is>
          <t>A</t>
        </is>
      </c>
      <c r="K19" s="15" t="n">
        <v>1</v>
      </c>
      <c r="L19" s="15" t="inlineStr">
        <is>
          <t>72h</t>
        </is>
      </c>
      <c r="M19" s="15" t="inlineStr">
        <is>
          <t>Élevé</t>
        </is>
      </c>
      <c r="N19" s="15" t="inlineStr">
        <is>
          <t>Actionnable</t>
        </is>
      </c>
      <c r="O19" s="15" t="inlineStr">
        <is>
          <t>Clos</t>
        </is>
      </c>
      <c r="P19" s="15" t="inlineStr">
        <is>
          <t>Oui</t>
        </is>
      </c>
      <c r="Q19" s="15" t="inlineStr">
        <is>
          <t>Suivi corridor régional</t>
        </is>
      </c>
      <c r="R19" s="15" t="inlineStr">
        <is>
          <t>Oui – documents</t>
        </is>
      </c>
      <c r="S19" s="15" t="inlineStr">
        <is>
          <t>TGO-007</t>
        </is>
      </c>
      <c r="T19" s="15" t="inlineStr">
        <is>
          <t>Restreinte</t>
        </is>
      </c>
      <c r="U19" s="10" t="n">
        <v>46194</v>
      </c>
      <c r="V19" s="15" t="inlineStr">
        <is>
          <t>PF Togo</t>
        </is>
      </c>
      <c r="W19" s="15" t="inlineStr">
        <is>
          <t>Première alerte du dossier YES / ALL STARS.</t>
        </is>
      </c>
    </row>
    <row r="20">
      <c r="A20" s="15" t="inlineStr">
        <is>
          <t>GEI-TGO-2026-008</t>
        </is>
      </c>
      <c r="B20" s="10" t="n">
        <v>46126</v>
      </c>
      <c r="C20" s="15" t="inlineStr">
        <is>
          <t>Point focal Togo</t>
        </is>
      </c>
      <c r="D20" s="15" t="inlineStr">
        <is>
          <t>Togo</t>
        </is>
      </c>
      <c r="E20" s="15" t="inlineStr">
        <is>
          <t>Kémérida – Kara</t>
        </is>
      </c>
      <c r="F20" s="15" t="inlineStr">
        <is>
          <t>Veille marché</t>
        </is>
      </c>
      <c r="G20" s="15" t="inlineStr">
        <is>
          <t>1000 cartons YES « Vente au Togo » destinés à un importateur occasionnel.</t>
        </is>
      </c>
      <c r="H20" s="15" t="inlineStr">
        <is>
          <t>Source frontière</t>
        </is>
      </c>
      <c r="I20" s="15" t="inlineStr">
        <is>
          <t>Oui</t>
        </is>
      </c>
      <c r="J20" s="15" t="inlineStr">
        <is>
          <t>A</t>
        </is>
      </c>
      <c r="K20" s="15" t="n">
        <v>1</v>
      </c>
      <c r="L20" s="15" t="inlineStr">
        <is>
          <t>Routine</t>
        </is>
      </c>
      <c r="M20" s="15" t="inlineStr">
        <is>
          <t>Moyen</t>
        </is>
      </c>
      <c r="N20" s="15" t="inlineStr">
        <is>
          <t>À surveiller</t>
        </is>
      </c>
      <c r="O20" s="15" t="inlineStr">
        <is>
          <t>Clos</t>
        </is>
      </c>
      <c r="P20" s="15" t="inlineStr">
        <is>
          <t>Oui</t>
        </is>
      </c>
      <c r="Q20" s="15" t="inlineStr">
        <is>
          <t>Veille renforcée</t>
        </is>
      </c>
      <c r="R20" s="15" t="inlineStr">
        <is>
          <t>Oui – documents</t>
        </is>
      </c>
      <c r="S20" s="15" t="inlineStr">
        <is>
          <t>TGO-008</t>
        </is>
      </c>
      <c r="T20" s="15" t="inlineStr">
        <is>
          <t>Restreinte</t>
        </is>
      </c>
      <c r="U20" s="10" t="n">
        <v>46194</v>
      </c>
      <c r="V20" s="15" t="inlineStr">
        <is>
          <t>PF Togo</t>
        </is>
      </c>
      <c r="W20" s="15" t="inlineStr">
        <is>
          <t>Signalement précurseur des flux YES observés dans la sous-région.</t>
        </is>
      </c>
    </row>
    <row r="21" ht="15.75" customHeight="1" s="23">
      <c r="A21" s="15" t="inlineStr">
        <is>
          <t>GEI-TGO-2026-009</t>
        </is>
      </c>
      <c r="B21" s="10" t="n">
        <v>46142</v>
      </c>
      <c r="C21" s="15" t="inlineStr">
        <is>
          <t>Point focal Togo</t>
        </is>
      </c>
      <c r="D21" s="15" t="inlineStr">
        <is>
          <t>Togo</t>
        </is>
      </c>
      <c r="E21" s="15" t="inlineStr">
        <is>
          <t>Port de Lomé</t>
        </is>
      </c>
      <c r="F21" s="15" t="inlineStr">
        <is>
          <t>Importation tabac</t>
        </is>
      </c>
      <c r="G21" s="15" t="inlineStr">
        <is>
          <t>2200 R. Royals, 900 Craven A et 1300 Concorde destinés au distributeur agréé Champion.</t>
        </is>
      </c>
      <c r="H21" s="15" t="inlineStr">
        <is>
          <t>Source portuaire</t>
        </is>
      </c>
      <c r="I21" s="15" t="inlineStr">
        <is>
          <t>Oui</t>
        </is>
      </c>
      <c r="J21" s="15" t="inlineStr">
        <is>
          <t>A</t>
        </is>
      </c>
      <c r="K21" s="15" t="n">
        <v>1</v>
      </c>
      <c r="L21" s="15" t="inlineStr">
        <is>
          <t>Routine</t>
        </is>
      </c>
      <c r="M21" s="15" t="inlineStr">
        <is>
          <t>Faible</t>
        </is>
      </c>
      <c r="N21" s="15" t="inlineStr">
        <is>
          <t>Archivage</t>
        </is>
      </c>
      <c r="O21" s="15" t="inlineStr">
        <is>
          <t>Clos</t>
        </is>
      </c>
      <c r="P21" s="15" t="inlineStr">
        <is>
          <t>Non</t>
        </is>
      </c>
      <c r="Q21" s="15" t="inlineStr">
        <is>
          <t>Néant</t>
        </is>
      </c>
      <c r="R21" s="15" t="inlineStr">
        <is>
          <t>Oui – documents</t>
        </is>
      </c>
      <c r="S21" s="15" t="inlineStr">
        <is>
          <t>TGO-009</t>
        </is>
      </c>
      <c r="T21" s="15" t="inlineStr">
        <is>
          <t>Interne</t>
        </is>
      </c>
      <c r="U21" s="10" t="n">
        <v>46194</v>
      </c>
      <c r="V21" s="15" t="inlineStr">
        <is>
          <t>PF Togo</t>
        </is>
      </c>
      <c r="W21" s="15" t="inlineStr">
        <is>
          <t>Importation légale suivie dans le cadre de la veille marché.</t>
        </is>
      </c>
    </row>
    <row r="22" ht="15.75" customHeight="1" s="23">
      <c r="A22" s="15" t="inlineStr">
        <is>
          <t>GEI-TGO-2026-010</t>
        </is>
      </c>
      <c r="B22" s="10" t="n">
        <v>46189</v>
      </c>
      <c r="C22" s="15" t="inlineStr">
        <is>
          <t>Point focal Togo</t>
        </is>
      </c>
      <c r="D22" s="15" t="inlineStr">
        <is>
          <t>Togo</t>
        </is>
      </c>
      <c r="E22" s="15" t="inlineStr">
        <is>
          <t>Kémérida – Kara – Lomé</t>
        </is>
      </c>
      <c r="F22" s="15" t="inlineStr">
        <is>
          <t>Signalement opérationnel</t>
        </is>
      </c>
      <c r="G22" s="15" t="inlineStr">
        <is>
          <t>1000 cartons YES « Vente au Togo » bloqués à Kara pour défaut de paiement des droits avant régularisation.</t>
        </is>
      </c>
      <c r="H22" s="15" t="inlineStr">
        <is>
          <t>Source frontière</t>
        </is>
      </c>
      <c r="I22" s="15" t="inlineStr">
        <is>
          <t>Oui</t>
        </is>
      </c>
      <c r="J22" s="15" t="inlineStr">
        <is>
          <t>A</t>
        </is>
      </c>
      <c r="K22" s="15" t="n">
        <v>1</v>
      </c>
      <c r="L22" s="15" t="inlineStr">
        <is>
          <t>72h</t>
        </is>
      </c>
      <c r="M22" s="15" t="inlineStr">
        <is>
          <t>Moyen</t>
        </is>
      </c>
      <c r="N22" s="15" t="inlineStr">
        <is>
          <t>Actionnable</t>
        </is>
      </c>
      <c r="O22" s="15" t="inlineStr">
        <is>
          <t>Clos</t>
        </is>
      </c>
      <c r="P22" s="15" t="inlineStr">
        <is>
          <t>Oui</t>
        </is>
      </c>
      <c r="Q22" s="15" t="inlineStr">
        <is>
          <t>Suivi de l'importateur</t>
        </is>
      </c>
      <c r="R22" s="15" t="inlineStr">
        <is>
          <t>Oui – documents</t>
        </is>
      </c>
      <c r="S22" s="15" t="inlineStr">
        <is>
          <t>TGO-010</t>
        </is>
      </c>
      <c r="T22" s="15" t="inlineStr">
        <is>
          <t>Restreinte</t>
        </is>
      </c>
      <c r="U22" s="10" t="n">
        <v>46194</v>
      </c>
      <c r="V22" s="15" t="inlineStr">
        <is>
          <t>PF Togo</t>
        </is>
      </c>
      <c r="W22" s="15" t="inlineStr">
        <is>
          <t>Dossier suivi jusqu'à régularisation le 11 juin 2026 ; intérêt particulier en raison de la récurrence des flux YES.</t>
        </is>
      </c>
    </row>
    <row r="23" ht="15.75" customHeight="1" s="23">
      <c r="A23" s="15" t="inlineStr">
        <is>
          <t>GEI-TGO-2026-011</t>
        </is>
      </c>
      <c r="B23" s="10" t="n">
        <v>46077</v>
      </c>
      <c r="C23" s="15" t="inlineStr">
        <is>
          <t>Point focal Togo</t>
        </is>
      </c>
      <c r="D23" s="15" t="inlineStr">
        <is>
          <t>Togo</t>
        </is>
      </c>
      <c r="E23" s="15" t="inlineStr">
        <is>
          <t>Port de Lomé</t>
        </is>
      </c>
      <c r="F23" s="15" t="inlineStr">
        <is>
          <t>Veille marché</t>
        </is>
      </c>
      <c r="G23" s="15" t="inlineStr">
        <is>
          <t>Cargaison de cigarettes CRAVEN A et R. ROYALS « Vente au Togo » destinée au distributeur agréé ADINKRA/Champion.</t>
        </is>
      </c>
      <c r="H23" s="15" t="inlineStr">
        <is>
          <t>Source portuaire</t>
        </is>
      </c>
      <c r="I23" s="15" t="inlineStr">
        <is>
          <t>Oui</t>
        </is>
      </c>
      <c r="J23" s="15" t="inlineStr">
        <is>
          <t>A</t>
        </is>
      </c>
      <c r="K23" s="15" t="n">
        <v>1</v>
      </c>
      <c r="L23" s="15" t="inlineStr">
        <is>
          <t>Routine</t>
        </is>
      </c>
      <c r="M23" s="15" t="inlineStr">
        <is>
          <t>Faible</t>
        </is>
      </c>
      <c r="N23" s="15" t="inlineStr">
        <is>
          <t>Archivage</t>
        </is>
      </c>
      <c r="O23" s="15" t="inlineStr">
        <is>
          <t>Clos</t>
        </is>
      </c>
      <c r="P23" s="15" t="inlineStr">
        <is>
          <t>Non</t>
        </is>
      </c>
      <c r="Q23" s="15" t="inlineStr">
        <is>
          <t>Néant</t>
        </is>
      </c>
      <c r="R23" s="15" t="inlineStr">
        <is>
          <t>Oui – documents portuaires</t>
        </is>
      </c>
      <c r="S23" s="15" t="inlineStr">
        <is>
          <t>TGO-011</t>
        </is>
      </c>
      <c r="T23" s="15" t="inlineStr">
        <is>
          <t>Interne</t>
        </is>
      </c>
      <c r="U23" s="10" t="n">
        <v>46194</v>
      </c>
      <c r="V23" s="15" t="inlineStr">
        <is>
          <t>PF Togo</t>
        </is>
      </c>
      <c r="W23" s="15" t="inlineStr">
        <is>
          <t>Signalement complémentaire relatif aux approvisionnements réguliers du distributeur agréé Champion.</t>
        </is>
      </c>
    </row>
    <row r="24" ht="15.75" customHeight="1" s="23">
      <c r="A24" s="15" t="inlineStr">
        <is>
          <t>GEI-TGO-2026-012</t>
        </is>
      </c>
      <c r="B24" s="10" t="n">
        <v>46112</v>
      </c>
      <c r="C24" s="15" t="inlineStr">
        <is>
          <t>OCRTIDB / Togo</t>
        </is>
      </c>
      <c r="D24" s="15" t="inlineStr">
        <is>
          <t>Togo</t>
        </is>
      </c>
      <c r="E24" s="15" t="inlineStr">
        <is>
          <t>Cinkassé</t>
        </is>
      </c>
      <c r="F24" s="15" t="inlineStr">
        <is>
          <t>Saisie de cigarettes</t>
        </is>
      </c>
      <c r="G24" s="15" t="inlineStr">
        <is>
          <t>Saisie de 4 cartons de cigarettes (3 cartons ROYALS et 1 carton ORIS), soit 40 000 bâtons, dissimulés sous des marchandises de consommation courante.</t>
        </is>
      </c>
      <c r="H24" s="15" t="inlineStr">
        <is>
          <t>Source institutionnelle</t>
        </is>
      </c>
      <c r="I24" s="15" t="inlineStr">
        <is>
          <t>Oui</t>
        </is>
      </c>
      <c r="J24" s="15" t="inlineStr">
        <is>
          <t>A</t>
        </is>
      </c>
      <c r="K24" s="15" t="n">
        <v>1</v>
      </c>
      <c r="L24" s="15" t="inlineStr">
        <is>
          <t>Routine</t>
        </is>
      </c>
      <c r="M24" s="15" t="inlineStr">
        <is>
          <t>Moyen</t>
        </is>
      </c>
      <c r="N24" s="15" t="inlineStr">
        <is>
          <t>Actionnable</t>
        </is>
      </c>
      <c r="O24" s="15" t="inlineStr">
        <is>
          <t>Clos</t>
        </is>
      </c>
      <c r="P24" s="15" t="inlineStr">
        <is>
          <t>Non</t>
        </is>
      </c>
      <c r="Q24" s="15" t="inlineStr">
        <is>
          <t>Archivage et exploitation statistique</t>
        </is>
      </c>
      <c r="R24" s="15" t="inlineStr">
        <is>
          <t>Oui – photos et rapport</t>
        </is>
      </c>
      <c r="S24" s="15" t="inlineStr">
        <is>
          <t>TGO-012</t>
        </is>
      </c>
      <c r="T24" s="15" t="inlineStr">
        <is>
          <t>Interne</t>
        </is>
      </c>
      <c r="U24" s="10" t="n">
        <v>46194</v>
      </c>
      <c r="V24" s="15" t="inlineStr">
        <is>
          <t>PF Togo</t>
        </is>
      </c>
      <c r="W24" s="15" t="inlineStr">
        <is>
          <t>Première saisie OCRTIDB documentée dans le registre GEI ; confirme l'utilisation de l'axe Cinkassé pour le transport dissimulé de cigarettes.</t>
        </is>
      </c>
    </row>
    <row r="25" ht="15.75" customHeight="1" s="23">
      <c r="A25" s="15" t="inlineStr">
        <is>
          <t>GEI-GHA-2026-001</t>
        </is>
      </c>
      <c r="B25" s="10" t="n">
        <v>46107</v>
      </c>
      <c r="C25" s="15" t="inlineStr">
        <is>
          <t>Point focal Togo</t>
        </is>
      </c>
      <c r="D25" s="15" t="inlineStr">
        <is>
          <t>Nigeria / Côte d'Ivoire</t>
        </is>
      </c>
      <c r="E25" s="15" t="inlineStr">
        <is>
          <t>Lagos – Abidjan</t>
        </is>
      </c>
      <c r="F25" s="15" t="inlineStr">
        <is>
          <t>Transit cigarettes</t>
        </is>
      </c>
      <c r="G25" s="15" t="inlineStr">
        <is>
          <t>500 cartons de cigarettes (100 ALL STARS et 400 YES) portant les mentions « Vente en Côte d'Ivoire » sous transit via le Togo.</t>
        </is>
      </c>
      <c r="H25" s="15" t="inlineStr">
        <is>
          <t>Source terrain</t>
        </is>
      </c>
      <c r="I25" s="15" t="inlineStr">
        <is>
          <t>Oui</t>
        </is>
      </c>
      <c r="J25" s="15" t="inlineStr">
        <is>
          <t>A</t>
        </is>
      </c>
      <c r="K25" s="15" t="n">
        <v>1</v>
      </c>
      <c r="L25" s="15" t="inlineStr">
        <is>
          <t>Immédiat</t>
        </is>
      </c>
      <c r="M25" s="15" t="inlineStr">
        <is>
          <t>Élevé</t>
        </is>
      </c>
      <c r="N25" s="15" t="inlineStr">
        <is>
          <t>Actionnable</t>
        </is>
      </c>
      <c r="O25" s="15" t="inlineStr">
        <is>
          <t>Clos</t>
        </is>
      </c>
      <c r="P25" s="15" t="inlineStr">
        <is>
          <t>Oui</t>
        </is>
      </c>
      <c r="Q25" s="15" t="inlineStr">
        <is>
          <t>Suivi corridor régional</t>
        </is>
      </c>
      <c r="R25" s="15" t="inlineStr">
        <is>
          <t>Oui – DDU et photos</t>
        </is>
      </c>
      <c r="S25" s="15" t="inlineStr">
        <is>
          <t>GHA-001</t>
        </is>
      </c>
      <c r="T25" s="15" t="inlineStr">
        <is>
          <t>Restreinte</t>
        </is>
      </c>
      <c r="U25" s="10" t="n">
        <v>46194</v>
      </c>
      <c r="V25" s="15" t="inlineStr">
        <is>
          <t>PF Ghana</t>
        </is>
      </c>
      <c r="W25" s="15" t="inlineStr">
        <is>
          <t>Dossier transmis aux autorités ivoiriennes ; a conduit à un suivi douanier et à la régularisation du dossier.</t>
        </is>
      </c>
    </row>
    <row r="26" ht="15.75" customHeight="1" s="23">
      <c r="A26" s="15" t="inlineStr">
        <is>
          <t>GEI-GHA-2026-002</t>
        </is>
      </c>
      <c r="B26" s="10" t="n">
        <v>46114</v>
      </c>
      <c r="C26" s="15" t="inlineStr">
        <is>
          <t>OCRTIDB / Togo</t>
        </is>
      </c>
      <c r="D26" s="15" t="inlineStr">
        <is>
          <t>Togo / Ghana</t>
        </is>
      </c>
      <c r="E26" s="15" t="inlineStr">
        <is>
          <t>Cinkassé – Widana</t>
        </is>
      </c>
      <c r="F26" s="15" t="inlineStr">
        <is>
          <t>Saisie de cigarettes</t>
        </is>
      </c>
      <c r="G26" s="15" t="inlineStr">
        <is>
          <t>Saisie de 75 cartouches de BUSINESS ROYALS transportées vers Widana et dissimulées sous diverses marchandises.</t>
        </is>
      </c>
      <c r="H26" s="15" t="inlineStr">
        <is>
          <t>Source institutionnelle</t>
        </is>
      </c>
      <c r="I26" s="15" t="inlineStr">
        <is>
          <t>Oui</t>
        </is>
      </c>
      <c r="J26" s="15" t="inlineStr">
        <is>
          <t>A</t>
        </is>
      </c>
      <c r="K26" s="15" t="n">
        <v>1</v>
      </c>
      <c r="L26" s="15" t="inlineStr">
        <is>
          <t>Routine</t>
        </is>
      </c>
      <c r="M26" s="15" t="inlineStr">
        <is>
          <t>Moyen</t>
        </is>
      </c>
      <c r="N26" s="15" t="inlineStr">
        <is>
          <t>Actionnable</t>
        </is>
      </c>
      <c r="O26" s="15" t="inlineStr">
        <is>
          <t>Clos</t>
        </is>
      </c>
      <c r="P26" s="15" t="inlineStr">
        <is>
          <t>Non</t>
        </is>
      </c>
      <c r="Q26" s="15" t="inlineStr">
        <is>
          <t>Archivage et exploitation</t>
        </is>
      </c>
      <c r="R26" s="15" t="inlineStr">
        <is>
          <t>Oui – photos</t>
        </is>
      </c>
      <c r="S26" s="15" t="inlineStr">
        <is>
          <t>GHA-002</t>
        </is>
      </c>
      <c r="T26" s="15" t="inlineStr">
        <is>
          <t>Interne</t>
        </is>
      </c>
      <c r="U26" s="10" t="n">
        <v>46194</v>
      </c>
      <c r="V26" s="15" t="inlineStr">
        <is>
          <t>PF Ghana</t>
        </is>
      </c>
      <c r="W26" s="15" t="inlineStr">
        <is>
          <t>Première saisie documentée reliant directement les flux interceptés à la zone de Widana.</t>
        </is>
      </c>
    </row>
    <row r="27" ht="15.75" customHeight="1" s="23">
      <c r="A27" s="15" t="inlineStr">
        <is>
          <t>GEI-GHA-2026-003</t>
        </is>
      </c>
      <c r="B27" s="10" t="n">
        <v>46137</v>
      </c>
      <c r="C27" s="15" t="inlineStr">
        <is>
          <t>NCTFC / Ghana</t>
        </is>
      </c>
      <c r="D27" s="15" t="inlineStr">
        <is>
          <t>Ghana</t>
        </is>
      </c>
      <c r="E27" s="15" t="inlineStr">
        <is>
          <t>Pulmakol – Widana</t>
        </is>
      </c>
      <c r="F27" s="15" t="inlineStr">
        <is>
          <t>Saisie de cigarettes</t>
        </is>
      </c>
      <c r="G27" s="15" t="inlineStr">
        <is>
          <t>Saisie réalisée dans les entrepôts de Pulmakol dans le cadre des opérations de contrôle menées autour de Widana.</t>
        </is>
      </c>
      <c r="H27" s="15" t="inlineStr">
        <is>
          <t>Source institutionnelle</t>
        </is>
      </c>
      <c r="I27" s="15" t="inlineStr">
        <is>
          <t>Oui</t>
        </is>
      </c>
      <c r="J27" s="15" t="inlineStr">
        <is>
          <t>A</t>
        </is>
      </c>
      <c r="K27" s="15" t="n">
        <v>1</v>
      </c>
      <c r="L27" s="15" t="inlineStr">
        <is>
          <t>Immédiat</t>
        </is>
      </c>
      <c r="M27" s="15" t="inlineStr">
        <is>
          <t>Élevé</t>
        </is>
      </c>
      <c r="N27" s="15" t="inlineStr">
        <is>
          <t>Actionnable</t>
        </is>
      </c>
      <c r="O27" s="15" t="inlineStr">
        <is>
          <t>En cours</t>
        </is>
      </c>
      <c r="P27" s="15" t="inlineStr">
        <is>
          <t>Oui</t>
        </is>
      </c>
      <c r="Q27" s="15" t="inlineStr">
        <is>
          <t>Attente du PV de saisie et décision de destruction</t>
        </is>
      </c>
      <c r="R27" s="15" t="inlineStr">
        <is>
          <t>Oui – photos</t>
        </is>
      </c>
      <c r="S27" s="15" t="inlineStr">
        <is>
          <t>GHA-003</t>
        </is>
      </c>
      <c r="T27" s="15" t="inlineStr">
        <is>
          <t>Restreinte</t>
        </is>
      </c>
      <c r="U27" s="10" t="n">
        <v>46194</v>
      </c>
      <c r="V27" s="15" t="inlineStr">
        <is>
          <t>PF Ghana</t>
        </is>
      </c>
      <c r="W27" s="15" t="inlineStr">
        <is>
          <t>Première opération majeure confirmant l'existence des entrepôts identifiés dans la zone.</t>
        </is>
      </c>
    </row>
    <row r="28" ht="15.75" customHeight="1" s="23">
      <c r="A28" s="15" t="inlineStr">
        <is>
          <t>GEI-GHA-2026-004</t>
        </is>
      </c>
      <c r="B28" s="10" t="n">
        <v>46161</v>
      </c>
      <c r="C28" s="15" t="inlineStr">
        <is>
          <t>NCTFC / Ghana</t>
        </is>
      </c>
      <c r="D28" s="15" t="inlineStr">
        <is>
          <t>Ghana</t>
        </is>
      </c>
      <c r="E28" s="15" t="inlineStr">
        <is>
          <t>Port de Tema</t>
        </is>
      </c>
      <c r="F28" s="15" t="inlineStr">
        <is>
          <t>Contrôle de cargaison</t>
        </is>
      </c>
      <c r="G28" s="15" t="inlineStr">
        <is>
          <t>Contrôle d'une cargaison de cigarettes de marque BOHEM au port de Tema.</t>
        </is>
      </c>
      <c r="H28" s="15" t="inlineStr">
        <is>
          <t>Source institutionnelle</t>
        </is>
      </c>
      <c r="I28" s="15" t="inlineStr">
        <is>
          <t>Oui</t>
        </is>
      </c>
      <c r="J28" s="15" t="inlineStr">
        <is>
          <t>A</t>
        </is>
      </c>
      <c r="K28" s="15" t="n">
        <v>1</v>
      </c>
      <c r="L28" s="15" t="inlineStr">
        <is>
          <t>Immédiat</t>
        </is>
      </c>
      <c r="M28" s="15" t="inlineStr">
        <is>
          <t>Élevé</t>
        </is>
      </c>
      <c r="N28" s="15" t="inlineStr">
        <is>
          <t>Actionnable</t>
        </is>
      </c>
      <c r="O28" s="15" t="inlineStr">
        <is>
          <t>En cours</t>
        </is>
      </c>
      <c r="P28" s="15" t="inlineStr">
        <is>
          <t>Oui</t>
        </is>
      </c>
      <c r="Q28" s="15" t="inlineStr">
        <is>
          <t>Suivi du dossier opérationnel</t>
        </is>
      </c>
      <c r="R28" s="15" t="inlineStr">
        <is>
          <t>Oui – photos</t>
        </is>
      </c>
      <c r="S28" s="15" t="inlineStr">
        <is>
          <t>GHA-004</t>
        </is>
      </c>
      <c r="T28" s="15" t="inlineStr">
        <is>
          <t>Restreinte</t>
        </is>
      </c>
      <c r="U28" s="10" t="n">
        <v>46194</v>
      </c>
      <c r="V28" s="15" t="inlineStr">
        <is>
          <t>PF Ghana</t>
        </is>
      </c>
      <c r="W28" s="15" t="inlineStr">
        <is>
          <t>Alerte ayant conduit à l'ouverture du dossier BOHEM et au suivi des conteneurs régionaux.</t>
        </is>
      </c>
    </row>
    <row r="29" ht="15.75" customHeight="1" s="23">
      <c r="A29" s="15" t="inlineStr">
        <is>
          <t>GEI-GHA-2026-005</t>
        </is>
      </c>
      <c r="B29" s="10" t="n">
        <v>46162</v>
      </c>
      <c r="C29" s="15" t="inlineStr">
        <is>
          <t>Point focal Ghana</t>
        </is>
      </c>
      <c r="D29" s="15" t="inlineStr">
        <is>
          <t>Ghana / Côte d'Ivoire / Togo</t>
        </is>
      </c>
      <c r="E29" s="15" t="inlineStr">
        <is>
          <t>Tema – Aflao</t>
        </is>
      </c>
      <c r="F29" s="15" t="inlineStr">
        <is>
          <t>Contrôle documentaire</t>
        </is>
      </c>
      <c r="G29" s="15" t="inlineStr">
        <is>
          <t>Signalement portant sur 635 cartons de Fine FF en provenance de Côte d'Ivoire.</t>
        </is>
      </c>
      <c r="H29" s="15" t="inlineStr">
        <is>
          <t>Source portuaire</t>
        </is>
      </c>
      <c r="I29" s="15" t="inlineStr">
        <is>
          <t>Oui</t>
        </is>
      </c>
      <c r="J29" s="15" t="inlineStr">
        <is>
          <t>A</t>
        </is>
      </c>
      <c r="K29" s="15" t="n">
        <v>1</v>
      </c>
      <c r="L29" s="15" t="inlineStr">
        <is>
          <t>Routine</t>
        </is>
      </c>
      <c r="M29" s="15" t="inlineStr">
        <is>
          <t>Moyen</t>
        </is>
      </c>
      <c r="N29" s="15" t="inlineStr">
        <is>
          <t>Actionnable</t>
        </is>
      </c>
      <c r="O29" s="15" t="inlineStr">
        <is>
          <t>Clos</t>
        </is>
      </c>
      <c r="P29" s="15" t="inlineStr">
        <is>
          <t>Oui</t>
        </is>
      </c>
      <c r="Q29" s="15" t="inlineStr">
        <is>
          <t>Vérifications effectuées</t>
        </is>
      </c>
      <c r="R29" s="15" t="inlineStr">
        <is>
          <t>Oui – déclarations</t>
        </is>
      </c>
      <c r="S29" s="15" t="inlineStr">
        <is>
          <t>GHA-005</t>
        </is>
      </c>
      <c r="T29" s="15" t="inlineStr">
        <is>
          <t>Interne</t>
        </is>
      </c>
      <c r="U29" s="10" t="n">
        <v>46194</v>
      </c>
      <c r="V29" s="15" t="inlineStr">
        <is>
          <t>PF Ghana</t>
        </is>
      </c>
      <c r="W29" s="15" t="inlineStr">
        <is>
          <t>Dossier clôturé après confirmation qu'il s'agissait d'un flux commercial légal entre opérateurs agréés.</t>
        </is>
      </c>
    </row>
    <row r="30" ht="15.75" customHeight="1" s="23">
      <c r="A30" s="15" t="inlineStr">
        <is>
          <t>GEI-GHA-2026-006</t>
        </is>
      </c>
      <c r="B30" s="10" t="n">
        <v>46186</v>
      </c>
      <c r="C30" s="15" t="inlineStr">
        <is>
          <t>NACOC / Ghana</t>
        </is>
      </c>
      <c r="D30" s="15" t="inlineStr">
        <is>
          <t>Ghana</t>
        </is>
      </c>
      <c r="E30" s="15" t="inlineStr">
        <is>
          <t>DHL Terminal</t>
        </is>
      </c>
      <c r="F30" s="15" t="inlineStr">
        <is>
          <t>Cigarettes expédiées par fret express</t>
        </is>
      </c>
      <c r="G30" s="15" t="inlineStr">
        <is>
          <t>Interception de cinq expéditions suspectées de contenir des cigarettes lors d'un contrôle au terminal DHL.</t>
        </is>
      </c>
      <c r="H30" s="15" t="inlineStr">
        <is>
          <t>Source institutionnelle</t>
        </is>
      </c>
      <c r="I30" s="15" t="inlineStr">
        <is>
          <t>Oui</t>
        </is>
      </c>
      <c r="J30" s="15" t="inlineStr">
        <is>
          <t>A</t>
        </is>
      </c>
      <c r="K30" s="15" t="n">
        <v>1</v>
      </c>
      <c r="L30" s="15" t="inlineStr">
        <is>
          <t>Routine</t>
        </is>
      </c>
      <c r="M30" s="15" t="inlineStr">
        <is>
          <t>Moyen</t>
        </is>
      </c>
      <c r="N30" s="15" t="inlineStr">
        <is>
          <t>À compléter</t>
        </is>
      </c>
      <c r="O30" s="15" t="inlineStr">
        <is>
          <t>En cours</t>
        </is>
      </c>
      <c r="P30" s="15" t="inlineStr">
        <is>
          <t>Non</t>
        </is>
      </c>
      <c r="Q30" s="15" t="inlineStr">
        <is>
          <t>Analyse du contenu et des destinataires</t>
        </is>
      </c>
      <c r="R30" s="15" t="inlineStr">
        <is>
          <t>Oui – photos et documents</t>
        </is>
      </c>
      <c r="S30" s="15" t="inlineStr">
        <is>
          <t>GHA-006</t>
        </is>
      </c>
      <c r="T30" s="15" t="inlineStr">
        <is>
          <t>Interne</t>
        </is>
      </c>
      <c r="U30" s="10" t="n">
        <v>46194</v>
      </c>
      <c r="V30" s="15" t="inlineStr">
        <is>
          <t>PF Ghana</t>
        </is>
      </c>
      <c r="W30" s="15" t="inlineStr">
        <is>
          <t>Première alerte transmise par la NACOC dans le cadre du partenariat AIT.</t>
        </is>
      </c>
    </row>
    <row r="31" ht="15.75" customHeight="1" s="23">
      <c r="A31" s="15" t="inlineStr">
        <is>
          <t>GEI-GHA-2026-007</t>
        </is>
      </c>
      <c r="B31" s="10" t="n">
        <v>46112</v>
      </c>
      <c r="C31" s="15" t="inlineStr">
        <is>
          <t>Consultant Ghana</t>
        </is>
      </c>
      <c r="D31" s="15" t="inlineStr">
        <is>
          <t>Ghana / Burkina Faso / Niger</t>
        </is>
      </c>
      <c r="E31" s="15" t="inlineStr">
        <is>
          <t>Kulungugu – Hamile</t>
        </is>
      </c>
      <c r="F31" s="15" t="inlineStr">
        <is>
          <t>Signalement opérationnel</t>
        </is>
      </c>
      <c r="G31" s="15" t="inlineStr">
        <is>
          <t>Environ 48 conteneurs de cigarettes déclarés pour le Burkina Faso et le Niger demeurent stationnés depuis plusieurs semaines à la frontière ghanéenne.</t>
        </is>
      </c>
      <c r="H31" s="15" t="inlineStr">
        <is>
          <t>Source terrain</t>
        </is>
      </c>
      <c r="I31" s="15" t="inlineStr">
        <is>
          <t>Oui</t>
        </is>
      </c>
      <c r="J31" s="15" t="inlineStr">
        <is>
          <t>B</t>
        </is>
      </c>
      <c r="K31" s="15" t="n">
        <v>2</v>
      </c>
      <c r="L31" s="15" t="inlineStr">
        <is>
          <t>Immédiat</t>
        </is>
      </c>
      <c r="M31" s="15" t="inlineStr">
        <is>
          <t>Élevé</t>
        </is>
      </c>
      <c r="N31" s="15" t="inlineStr">
        <is>
          <t>Actionnable</t>
        </is>
      </c>
      <c r="O31" s="15" t="inlineStr">
        <is>
          <t>En cours</t>
        </is>
      </c>
      <c r="P31" s="15" t="inlineStr">
        <is>
          <t>Oui</t>
        </is>
      </c>
      <c r="Q31" s="15" t="inlineStr">
        <is>
          <t>Surveillance et analyse des mouvements</t>
        </is>
      </c>
      <c r="R31" s="15" t="inlineStr">
        <is>
          <t>Oui – rapport consultant</t>
        </is>
      </c>
      <c r="S31" s="15" t="inlineStr">
        <is>
          <t>GHA-007</t>
        </is>
      </c>
      <c r="T31" s="15" t="inlineStr">
        <is>
          <t>Restreinte</t>
        </is>
      </c>
      <c r="U31" s="10" t="n">
        <v>46194</v>
      </c>
      <c r="V31" s="15" t="inlineStr">
        <is>
          <t>PF Ghana</t>
        </is>
      </c>
      <c r="W31" s="15" t="inlineStr">
        <is>
          <t>Risque de déchargement des marchandises dans les entrepôts de Widana et de redistribution régionale.</t>
        </is>
      </c>
    </row>
    <row r="32" ht="15.75" customHeight="1" s="23">
      <c r="A32" s="15" t="inlineStr">
        <is>
          <t>GEI-GHA-2026-008</t>
        </is>
      </c>
      <c r="B32" s="10" t="n">
        <v>46112</v>
      </c>
      <c r="C32" s="15" t="inlineStr">
        <is>
          <t>Consultant Ghana</t>
        </is>
      </c>
      <c r="D32" s="15" t="inlineStr">
        <is>
          <t>Ghana / Togo</t>
        </is>
      </c>
      <c r="E32" s="15" t="inlineStr">
        <is>
          <t>Widana – corridor Est</t>
        </is>
      </c>
      <c r="F32" s="15" t="inlineStr">
        <is>
          <t>Signal faible</t>
        </is>
      </c>
      <c r="G32" s="15" t="inlineStr">
        <is>
          <t>Identification d'un nouveau corridor de redistribution utilisé pour contourner les contrôles de Cinkassé.</t>
        </is>
      </c>
      <c r="H32" s="15" t="inlineStr">
        <is>
          <t>Source terrain</t>
        </is>
      </c>
      <c r="I32" s="15" t="inlineStr">
        <is>
          <t>Oui</t>
        </is>
      </c>
      <c r="J32" s="15" t="inlineStr">
        <is>
          <t>B</t>
        </is>
      </c>
      <c r="K32" s="15" t="n">
        <v>2</v>
      </c>
      <c r="L32" s="15" t="inlineStr">
        <is>
          <t>72h</t>
        </is>
      </c>
      <c r="M32" s="15" t="inlineStr">
        <is>
          <t>Élevé</t>
        </is>
      </c>
      <c r="N32" s="15" t="inlineStr">
        <is>
          <t>Actionnable</t>
        </is>
      </c>
      <c r="O32" s="15" t="inlineStr">
        <is>
          <t>En cours</t>
        </is>
      </c>
      <c r="P32" s="15" t="inlineStr">
        <is>
          <t>Oui</t>
        </is>
      </c>
      <c r="Q32" s="15" t="inlineStr">
        <is>
          <t>Cartographie du corridor</t>
        </is>
      </c>
      <c r="R32" s="15" t="inlineStr">
        <is>
          <t>Oui – rapport consultant</t>
        </is>
      </c>
      <c r="S32" s="15" t="inlineStr">
        <is>
          <t>GHA-008</t>
        </is>
      </c>
      <c r="T32" s="15" t="inlineStr">
        <is>
          <t>Restreinte</t>
        </is>
      </c>
      <c r="U32" s="10" t="n">
        <v>46194</v>
      </c>
      <c r="V32" s="15" t="inlineStr">
        <is>
          <t>PF Ghana</t>
        </is>
      </c>
      <c r="W32" s="15" t="inlineStr">
        <is>
          <t>Les camions effectuent des mouvements nocturnes et empruntent ponctuellement le territoire togolais.</t>
        </is>
      </c>
    </row>
    <row r="33" ht="15.75" customHeight="1" s="23">
      <c r="A33" s="15" t="inlineStr">
        <is>
          <t>GEI-GHA-2026-009</t>
        </is>
      </c>
      <c r="B33" s="10" t="n">
        <v>46112</v>
      </c>
      <c r="C33" s="15" t="inlineStr">
        <is>
          <t>Consultant Ghana</t>
        </is>
      </c>
      <c r="D33" s="15" t="inlineStr">
        <is>
          <t>Ghana</t>
        </is>
      </c>
      <c r="E33" s="15" t="inlineStr">
        <is>
          <t>Widana</t>
        </is>
      </c>
      <c r="F33" s="15" t="inlineStr">
        <is>
          <t>Renseignement logistique</t>
        </is>
      </c>
      <c r="G33" s="15" t="inlineStr">
        <is>
          <t>Identification du propriétaire et de la plateforme logistique utilisée pour le stockage et la redistribution des cigarettes en attente à la frontière.</t>
        </is>
      </c>
      <c r="H33" s="15" t="inlineStr">
        <is>
          <t>Source terrain</t>
        </is>
      </c>
      <c r="I33" s="15" t="inlineStr">
        <is>
          <t>Oui</t>
        </is>
      </c>
      <c r="J33" s="15" t="inlineStr">
        <is>
          <t>B</t>
        </is>
      </c>
      <c r="K33" s="15" t="n">
        <v>2</v>
      </c>
      <c r="L33" s="15" t="inlineStr">
        <is>
          <t>72h</t>
        </is>
      </c>
      <c r="M33" s="15" t="inlineStr">
        <is>
          <t>Élevé</t>
        </is>
      </c>
      <c r="N33" s="15" t="inlineStr">
        <is>
          <t>Actionnable</t>
        </is>
      </c>
      <c r="O33" s="15" t="inlineStr">
        <is>
          <t>En cours</t>
        </is>
      </c>
      <c r="P33" s="15" t="inlineStr">
        <is>
          <t>Oui</t>
        </is>
      </c>
      <c r="Q33" s="15" t="inlineStr">
        <is>
          <t>Exploitation du renseignement et suivi des mouvements</t>
        </is>
      </c>
      <c r="R33" s="15" t="inlineStr">
        <is>
          <t>Oui – rapport consultant</t>
        </is>
      </c>
      <c r="S33" s="15" t="inlineStr">
        <is>
          <t>GHA-009</t>
        </is>
      </c>
      <c r="T33" s="15" t="inlineStr">
        <is>
          <t>Confidentielle</t>
        </is>
      </c>
      <c r="U33" s="10" t="n">
        <v>46194</v>
      </c>
      <c r="V33" s="15" t="inlineStr">
        <is>
          <t>PF Ghana</t>
        </is>
      </c>
      <c r="W33" s="15" t="inlineStr">
        <is>
          <t>Élément majeur ayant permis de mieux comprendre le fonctionnement des entrepôts de Widana et les flux régionaux associés.</t>
        </is>
      </c>
    </row>
    <row r="34" ht="15.75" customHeight="1" s="23">
      <c r="A34" s="15" t="inlineStr">
        <is>
          <t>GEI-SEN-2026-001</t>
        </is>
      </c>
      <c r="B34" s="10" t="n">
        <v>46163</v>
      </c>
      <c r="C34" s="15" t="inlineStr">
        <is>
          <t>DG Douanes Sénégal</t>
        </is>
      </c>
      <c r="D34" s="15" t="inlineStr">
        <is>
          <t>Sénégal</t>
        </is>
      </c>
      <c r="E34" s="15" t="inlineStr">
        <is>
          <t>Pondala – Kédougou</t>
        </is>
      </c>
      <c r="F34" s="15" t="inlineStr">
        <is>
          <t>Saisie de cigarettes</t>
        </is>
      </c>
      <c r="G34" s="15" t="inlineStr">
        <is>
          <t>Saisie de 20 430 paquets de cigarettes transportés sur cinq motocyclettes dans la région de Kédougou.</t>
        </is>
      </c>
      <c r="H34" s="15" t="inlineStr">
        <is>
          <t>Source institutionnelle</t>
        </is>
      </c>
      <c r="I34" s="15" t="inlineStr">
        <is>
          <t>Oui</t>
        </is>
      </c>
      <c r="J34" s="15" t="inlineStr">
        <is>
          <t>A</t>
        </is>
      </c>
      <c r="K34" s="15" t="n">
        <v>1</v>
      </c>
      <c r="L34" s="15" t="inlineStr">
        <is>
          <t>72h</t>
        </is>
      </c>
      <c r="M34" s="15" t="inlineStr">
        <is>
          <t>Élevé</t>
        </is>
      </c>
      <c r="N34" s="15" t="inlineStr">
        <is>
          <t>Actionnable</t>
        </is>
      </c>
      <c r="O34" s="15" t="inlineStr">
        <is>
          <t>En cours</t>
        </is>
      </c>
      <c r="P34" s="15" t="inlineStr">
        <is>
          <t>Oui</t>
        </is>
      </c>
      <c r="Q34" s="15" t="inlineStr">
        <is>
          <t>Suivi de la destruction et sécurisation des stocks</t>
        </is>
      </c>
      <c r="R34" s="15" t="inlineStr">
        <is>
          <t>Oui – photos</t>
        </is>
      </c>
      <c r="S34" s="15" t="inlineStr">
        <is>
          <t>SEN-001</t>
        </is>
      </c>
      <c r="T34" s="15" t="inlineStr">
        <is>
          <t>Restreinte</t>
        </is>
      </c>
      <c r="U34" s="10" t="n">
        <v>46194</v>
      </c>
      <c r="V34" s="15" t="inlineStr">
        <is>
          <t>PF Sénégal</t>
        </is>
      </c>
      <c r="W34" s="15" t="inlineStr">
        <is>
          <t>Première saisie majeure documentée dans le cadre du GEI Sénégal.</t>
        </is>
      </c>
    </row>
    <row r="35" ht="15.75" customHeight="1" s="23">
      <c r="A35" s="15" t="inlineStr">
        <is>
          <t>GEI-GHA-2026-010</t>
        </is>
      </c>
      <c r="B35" s="10" t="n">
        <v>46170</v>
      </c>
      <c r="C35" s="15" t="inlineStr">
        <is>
          <t>Ghana Revenue Authority (Ghana)</t>
        </is>
      </c>
      <c r="D35" s="15" t="inlineStr">
        <is>
          <t>Ghana</t>
        </is>
      </c>
      <c r="E35" s="15" t="inlineStr">
        <is>
          <t>Tamale</t>
        </is>
      </c>
      <c r="F35" s="15" t="inlineStr">
        <is>
          <t>Saisie de cigarettes</t>
        </is>
      </c>
      <c r="G35" s="15" t="inlineStr">
        <is>
          <t>Saisie de 8 100 cartons de cigarettes dissimulés dans des sacs de jute à bord de deux camions.</t>
        </is>
      </c>
      <c r="H35" s="15" t="inlineStr">
        <is>
          <t>Source institutionnelle</t>
        </is>
      </c>
      <c r="I35" s="15" t="inlineStr">
        <is>
          <t>Oui</t>
        </is>
      </c>
      <c r="J35" s="15" t="inlineStr">
        <is>
          <t>A</t>
        </is>
      </c>
      <c r="K35" s="15" t="n">
        <v>1</v>
      </c>
      <c r="L35" s="15" t="inlineStr">
        <is>
          <t>Immédiat</t>
        </is>
      </c>
      <c r="M35" s="15" t="inlineStr">
        <is>
          <t>Très élevé</t>
        </is>
      </c>
      <c r="N35" s="15" t="inlineStr">
        <is>
          <t>Actionnable</t>
        </is>
      </c>
      <c r="O35" s="15" t="inlineStr">
        <is>
          <t>En cours</t>
        </is>
      </c>
      <c r="P35" s="15" t="inlineStr">
        <is>
          <t>Oui</t>
        </is>
      </c>
      <c r="Q35" s="15" t="inlineStr">
        <is>
          <t>Suivi de la procédure judiciaire et des mesures de destruction</t>
        </is>
      </c>
      <c r="R35" s="15" t="inlineStr">
        <is>
          <t>Oui – rapport et photographies de saisie</t>
        </is>
      </c>
      <c r="S35" s="15" t="inlineStr">
        <is>
          <t>GHA-TAMALE-2026</t>
        </is>
      </c>
      <c r="T35" s="15" t="inlineStr">
        <is>
          <t>Restreinte</t>
        </is>
      </c>
      <c r="U35" s="10" t="n">
        <v>46194</v>
      </c>
      <c r="V35" s="15" t="inlineStr">
        <is>
          <t>PF Ghana</t>
        </is>
      </c>
      <c r="W35" s="15" t="inlineStr">
        <is>
          <t>Saisie réalisée dans le nord du Ghana. Dossier suivi dans le cadre de la coopération avec les autorités ghanéennes. Les marchandises demeurent sous contrôle des autorités compétentes.</t>
        </is>
      </c>
    </row>
    <row r="36" ht="15.75" customHeight="1" s="23">
      <c r="A36" s="15" t="inlineStr">
        <is>
          <t>GEI-TGO-2026-013</t>
        </is>
      </c>
      <c r="B36" s="10" t="n">
        <v>46173</v>
      </c>
      <c r="C36" s="15" t="inlineStr">
        <is>
          <t>OCRTIDB (Togo)</t>
        </is>
      </c>
      <c r="D36" s="15" t="inlineStr">
        <is>
          <t>Togo</t>
        </is>
      </c>
      <c r="E36" s="15" t="inlineStr">
        <is>
          <t>Ensemble du territoire national</t>
        </is>
      </c>
      <c r="F36" s="15" t="inlineStr">
        <is>
          <t>Saisies consolidées</t>
        </is>
      </c>
      <c r="G36" s="15" t="inlineStr">
        <is>
          <t>Saisies cumulées de cigarettes sans marquage réalisées par l'OCRTIDB entre mars et mai 2026.</t>
        </is>
      </c>
      <c r="H36" s="15" t="inlineStr">
        <is>
          <t>Source institutionnelle</t>
        </is>
      </c>
      <c r="I36" s="15" t="inlineStr">
        <is>
          <t>Oui</t>
        </is>
      </c>
      <c r="J36" s="15" t="inlineStr">
        <is>
          <t>A</t>
        </is>
      </c>
      <c r="K36" s="15" t="n">
        <v>1</v>
      </c>
      <c r="L36" s="15" t="inlineStr">
        <is>
          <t>Routine</t>
        </is>
      </c>
      <c r="M36" s="15" t="inlineStr">
        <is>
          <t>Élevé</t>
        </is>
      </c>
      <c r="N36" s="15" t="inlineStr">
        <is>
          <t>Exploitable</t>
        </is>
      </c>
      <c r="O36" s="15" t="inlineStr">
        <is>
          <t>Clos</t>
        </is>
      </c>
      <c r="P36" s="15" t="inlineStr">
        <is>
          <t>Oui</t>
        </is>
      </c>
      <c r="Q36" s="15" t="inlineStr">
        <is>
          <t>Consolidation statistique des saisies</t>
        </is>
      </c>
      <c r="R36" s="15" t="inlineStr">
        <is>
          <t>Oui – tableau récapitulatif des saisies</t>
        </is>
      </c>
      <c r="S36" s="15" t="inlineStr">
        <is>
          <t>TGO-OCRTIDB-2026</t>
        </is>
      </c>
      <c r="T36" s="15" t="inlineStr">
        <is>
          <t>Interne</t>
        </is>
      </c>
      <c r="U36" s="10" t="n">
        <v>46194</v>
      </c>
      <c r="V36" s="15" t="inlineStr">
        <is>
          <t>PF Togo</t>
        </is>
      </c>
      <c r="W36" s="15" t="inlineStr">
        <is>
          <t>Les saisies recensées entre mars et mai 2026 représentent plus de 17 000 paquets de cigarettes interceptés sur le territoire togolais dans le cadre des opérations de lutte contre le commerce illicite.</t>
        </is>
      </c>
    </row>
    <row r="37" ht="15.75" customHeight="1" s="23">
      <c r="A37" s="15" t="inlineStr">
        <is>
          <t>GEI-GHA-2026-011</t>
        </is>
      </c>
      <c r="B37" s="10" t="n">
        <v>46162</v>
      </c>
      <c r="C37" s="15" t="inlineStr">
        <is>
          <t>Point focal Ghana</t>
        </is>
      </c>
      <c r="D37" s="15" t="inlineStr">
        <is>
          <t>Burkina Faso</t>
        </is>
      </c>
      <c r="E37" s="15" t="inlineStr">
        <is>
          <t>Tema → Burkina Faso</t>
        </is>
      </c>
      <c r="F37" s="15" t="inlineStr">
        <is>
          <t>Transit cigarettes</t>
        </is>
      </c>
      <c r="G37" s="15" t="inlineStr">
        <is>
          <t>350 colis de cigarettes (marque à confirmer) destinés à SIRI Produits et Compagnie SARL.</t>
        </is>
      </c>
      <c r="H37" s="15" t="inlineStr">
        <is>
          <t>Source portuaire</t>
        </is>
      </c>
      <c r="I37" s="15" t="inlineStr">
        <is>
          <t>Oui</t>
        </is>
      </c>
      <c r="J37" s="15" t="inlineStr">
        <is>
          <t>A</t>
        </is>
      </c>
      <c r="K37" s="15" t="n">
        <v>1</v>
      </c>
      <c r="L37" s="15" t="inlineStr">
        <is>
          <t>Immédiat</t>
        </is>
      </c>
      <c r="M37" s="15" t="inlineStr">
        <is>
          <t>Élevé</t>
        </is>
      </c>
      <c r="N37" s="15" t="inlineStr">
        <is>
          <t>À compléter</t>
        </is>
      </c>
      <c r="O37" s="15" t="inlineStr">
        <is>
          <t>Suivi</t>
        </is>
      </c>
      <c r="P37" s="15" t="inlineStr">
        <is>
          <t>Oui</t>
        </is>
      </c>
      <c r="Q37" s="15" t="inlineStr">
        <is>
          <t>Surveillance corridor Widana</t>
        </is>
      </c>
      <c r="R37" s="15" t="inlineStr">
        <is>
          <t>Oui</t>
        </is>
      </c>
      <c r="S37" s="15" t="inlineStr">
        <is>
          <t>TEMA-MAI26-A01</t>
        </is>
      </c>
      <c r="T37" s="15" t="inlineStr">
        <is>
          <t>Restreinte</t>
        </is>
      </c>
      <c r="U37" s="10" t="n">
        <v>46197</v>
      </c>
      <c r="V37" s="15" t="inlineStr">
        <is>
          <t>PF Ghana</t>
        </is>
      </c>
      <c r="W37" s="15" t="inlineStr">
        <is>
          <t>Marque et quantité détaillée à confirmer.</t>
        </is>
      </c>
    </row>
    <row r="38" ht="15.75" customHeight="1" s="23">
      <c r="A38" s="15" t="inlineStr">
        <is>
          <t>GEI-GHA-2026-012</t>
        </is>
      </c>
      <c r="B38" s="10" t="n">
        <v>46153</v>
      </c>
      <c r="C38" s="15" t="inlineStr">
        <is>
          <t>Point focal Ghana</t>
        </is>
      </c>
      <c r="D38" s="15" t="inlineStr">
        <is>
          <t>Burkina Faso</t>
        </is>
      </c>
      <c r="E38" s="15" t="inlineStr">
        <is>
          <t>Tema → Burkina Faso</t>
        </is>
      </c>
      <c r="F38" s="15" t="inlineStr">
        <is>
          <t>Transit cigares</t>
        </is>
      </c>
      <c r="G38" s="15" t="inlineStr">
        <is>
          <t>Cargaison de cigares destinée à Groupe Guira &amp; Fils (GGF SARL).</t>
        </is>
      </c>
      <c r="H38" s="15" t="inlineStr">
        <is>
          <t>Source portuaire</t>
        </is>
      </c>
      <c r="I38" s="15" t="inlineStr">
        <is>
          <t>Oui</t>
        </is>
      </c>
      <c r="J38" s="15" t="inlineStr">
        <is>
          <t>A</t>
        </is>
      </c>
      <c r="K38" s="15" t="n">
        <v>1</v>
      </c>
      <c r="L38" s="15" t="inlineStr">
        <is>
          <t>Immédiat</t>
        </is>
      </c>
      <c r="M38" s="15" t="inlineStr">
        <is>
          <t>Élevé</t>
        </is>
      </c>
      <c r="N38" s="15" t="inlineStr">
        <is>
          <t>À compléter</t>
        </is>
      </c>
      <c r="O38" s="15" t="inlineStr">
        <is>
          <t>Suivi</t>
        </is>
      </c>
      <c r="P38" s="15" t="inlineStr">
        <is>
          <t>Oui</t>
        </is>
      </c>
      <c r="Q38" s="15" t="inlineStr">
        <is>
          <t>Vérification nature des produits</t>
        </is>
      </c>
      <c r="R38" s="15" t="inlineStr">
        <is>
          <t>Oui</t>
        </is>
      </c>
      <c r="S38" s="15" t="inlineStr">
        <is>
          <t>TEMA-MAI26-A02</t>
        </is>
      </c>
      <c r="T38" s="15" t="inlineStr">
        <is>
          <t>Restreinte</t>
        </is>
      </c>
      <c r="U38" s="10" t="n">
        <v>46197</v>
      </c>
      <c r="V38" s="15" t="inlineStr">
        <is>
          <t>PF Ghana</t>
        </is>
      </c>
      <c r="W38" s="15" t="inlineStr">
        <is>
          <t>Marque et quantité à confirmer.</t>
        </is>
      </c>
    </row>
    <row r="39" ht="15.75" customHeight="1" s="23">
      <c r="A39" s="15" t="inlineStr">
        <is>
          <t>GEI-GHA-2026-013</t>
        </is>
      </c>
      <c r="B39" s="10" t="n">
        <v>46145</v>
      </c>
      <c r="C39" s="15" t="inlineStr">
        <is>
          <t>Point focal Ghana</t>
        </is>
      </c>
      <c r="D39" s="15" t="inlineStr">
        <is>
          <t>Niger</t>
        </is>
      </c>
      <c r="E39" s="15" t="inlineStr">
        <is>
          <t>Tema–Kulungugu–Niger</t>
        </is>
      </c>
      <c r="F39" s="15" t="inlineStr">
        <is>
          <t>Transit cigarettes</t>
        </is>
      </c>
      <c r="G39" s="15" t="inlineStr">
        <is>
          <t>3 300 cartons de YES INTL KS FILTER destinés à AVENTUS NIGER SARL.</t>
        </is>
      </c>
      <c r="H39" s="15" t="inlineStr">
        <is>
          <t>Source portuaire</t>
        </is>
      </c>
      <c r="I39" s="15" t="inlineStr">
        <is>
          <t>Oui</t>
        </is>
      </c>
      <c r="J39" s="15" t="inlineStr">
        <is>
          <t>A</t>
        </is>
      </c>
      <c r="K39" s="15" t="n">
        <v>1</v>
      </c>
      <c r="L39" s="15" t="inlineStr">
        <is>
          <t>Immédiat</t>
        </is>
      </c>
      <c r="M39" s="15" t="inlineStr">
        <is>
          <t>Élevé</t>
        </is>
      </c>
      <c r="N39" s="15" t="inlineStr">
        <is>
          <t>Actionnable</t>
        </is>
      </c>
      <c r="O39" s="15" t="inlineStr">
        <is>
          <t>Suivi</t>
        </is>
      </c>
      <c r="P39" s="15" t="inlineStr">
        <is>
          <t>Oui</t>
        </is>
      </c>
      <c r="Q39" s="15" t="inlineStr">
        <is>
          <t>Surveillance du corridor</t>
        </is>
      </c>
      <c r="R39" s="15" t="inlineStr">
        <is>
          <t>Oui</t>
        </is>
      </c>
      <c r="S39" s="15" t="inlineStr">
        <is>
          <t>TEMA-MAI26-A03</t>
        </is>
      </c>
      <c r="T39" s="15" t="inlineStr">
        <is>
          <t>Restreinte</t>
        </is>
      </c>
      <c r="U39" s="10" t="n">
        <v>46197</v>
      </c>
      <c r="V39" s="15" t="inlineStr">
        <is>
          <t>PF Ghana</t>
        </is>
      </c>
      <c r="W39" s="15" t="inlineStr">
        <is>
          <t>Flux identifié vers le Niger via Burkina Faso.</t>
        </is>
      </c>
    </row>
    <row r="40" ht="15.75" customHeight="1" s="23">
      <c r="A40" s="15" t="inlineStr">
        <is>
          <t>GEI-GHA-2026-014</t>
        </is>
      </c>
      <c r="B40" s="10" t="n">
        <v>46145</v>
      </c>
      <c r="C40" s="15" t="inlineStr">
        <is>
          <t>Point focal Ghana</t>
        </is>
      </c>
      <c r="D40" s="15" t="inlineStr">
        <is>
          <t>Niger</t>
        </is>
      </c>
      <c r="E40" s="15" t="inlineStr">
        <is>
          <t>Tema–Kulungugu–Niger</t>
        </is>
      </c>
      <c r="F40" s="15" t="inlineStr">
        <is>
          <t>Transit cigarettes</t>
        </is>
      </c>
      <c r="G40" s="15" t="inlineStr">
        <is>
          <t>Cargaison de cigarettes (marque à confirmer) destinée à BATISOFT Niger.</t>
        </is>
      </c>
      <c r="H40" s="15" t="inlineStr">
        <is>
          <t>Source portuaire</t>
        </is>
      </c>
      <c r="I40" s="15" t="inlineStr">
        <is>
          <t>Oui</t>
        </is>
      </c>
      <c r="J40" s="15" t="inlineStr">
        <is>
          <t>A</t>
        </is>
      </c>
      <c r="K40" s="15" t="n">
        <v>1</v>
      </c>
      <c r="L40" s="15" t="inlineStr">
        <is>
          <t>Immédiat</t>
        </is>
      </c>
      <c r="M40" s="15" t="inlineStr">
        <is>
          <t>Élevé</t>
        </is>
      </c>
      <c r="N40" s="15" t="inlineStr">
        <is>
          <t>À compléter</t>
        </is>
      </c>
      <c r="O40" s="15" t="inlineStr">
        <is>
          <t>Suivi</t>
        </is>
      </c>
      <c r="P40" s="15" t="inlineStr">
        <is>
          <t>Oui</t>
        </is>
      </c>
      <c r="Q40" s="15" t="inlineStr">
        <is>
          <t>Vérification documentaire</t>
        </is>
      </c>
      <c r="R40" s="15" t="inlineStr">
        <is>
          <t>Oui</t>
        </is>
      </c>
      <c r="S40" s="15" t="inlineStr">
        <is>
          <t>TEMA-MAI26-A04</t>
        </is>
      </c>
      <c r="T40" s="15" t="inlineStr">
        <is>
          <t>Restreinte</t>
        </is>
      </c>
      <c r="U40" s="10" t="n">
        <v>46197</v>
      </c>
      <c r="V40" s="15" t="inlineStr">
        <is>
          <t>PF Ghana</t>
        </is>
      </c>
      <c r="W40" s="15" t="inlineStr">
        <is>
          <t>Marque et quantité à confirmer.</t>
        </is>
      </c>
    </row>
    <row r="41" ht="15.75" customHeight="1" s="23">
      <c r="A41" s="15" t="inlineStr">
        <is>
          <t>GEI-GHA-2026-015</t>
        </is>
      </c>
      <c r="B41" s="10" t="n">
        <v>46148</v>
      </c>
      <c r="C41" s="15" t="inlineStr">
        <is>
          <t>Point focal Ghana</t>
        </is>
      </c>
      <c r="D41" s="15" t="inlineStr">
        <is>
          <t>Niger</t>
        </is>
      </c>
      <c r="E41" s="15" t="inlineStr">
        <is>
          <t>Tema–Kulungugu–Niger</t>
        </is>
      </c>
      <c r="F41" s="15" t="inlineStr">
        <is>
          <t>Transit cigarettes</t>
        </is>
      </c>
      <c r="G41" s="15" t="inlineStr">
        <is>
          <t>10 896 cartons de GOLD SEAL sans mention sanitaire destinés à AVENTUS NIGER SARL.</t>
        </is>
      </c>
      <c r="H41" s="15" t="inlineStr">
        <is>
          <t>Source portuaire</t>
        </is>
      </c>
      <c r="I41" s="15" t="inlineStr">
        <is>
          <t>Oui</t>
        </is>
      </c>
      <c r="J41" s="15" t="inlineStr">
        <is>
          <t>A</t>
        </is>
      </c>
      <c r="K41" s="15" t="n">
        <v>1</v>
      </c>
      <c r="L41" s="15" t="inlineStr">
        <is>
          <t>Immédiat</t>
        </is>
      </c>
      <c r="M41" s="15" t="inlineStr">
        <is>
          <t>Très élevé</t>
        </is>
      </c>
      <c r="N41" s="15" t="inlineStr">
        <is>
          <t>Actionnable</t>
        </is>
      </c>
      <c r="O41" s="15" t="inlineStr">
        <is>
          <t>Suivi</t>
        </is>
      </c>
      <c r="P41" s="15" t="inlineStr">
        <is>
          <t>Oui</t>
        </is>
      </c>
      <c r="Q41" s="15" t="inlineStr">
        <is>
          <t>Surveillance renforcée</t>
        </is>
      </c>
      <c r="R41" s="15" t="inlineStr">
        <is>
          <t>Oui</t>
        </is>
      </c>
      <c r="S41" s="15" t="inlineStr">
        <is>
          <t>TEMA-MAI26-A05</t>
        </is>
      </c>
      <c r="T41" s="15" t="inlineStr">
        <is>
          <t>Restreinte</t>
        </is>
      </c>
      <c r="U41" s="10" t="n">
        <v>46197</v>
      </c>
      <c r="V41" s="15" t="inlineStr">
        <is>
          <t>PF Ghana</t>
        </is>
      </c>
      <c r="W41" s="15" t="inlineStr">
        <is>
          <t>Deux B/L associés à une même opération ; vigilance sur le dédoublonnage.</t>
        </is>
      </c>
    </row>
    <row r="42" ht="15.75" customHeight="1" s="23">
      <c r="A42" s="15" t="inlineStr">
        <is>
          <t>GEI-GHA-2026-016</t>
        </is>
      </c>
      <c r="B42" s="10" t="n">
        <v>46162</v>
      </c>
      <c r="C42" s="15" t="inlineStr">
        <is>
          <t>Point focal Ghana</t>
        </is>
      </c>
      <c r="D42" s="15" t="inlineStr">
        <is>
          <t>Niger</t>
        </is>
      </c>
      <c r="E42" s="15" t="inlineStr">
        <is>
          <t>Tema–Kulungugu–Niger</t>
        </is>
      </c>
      <c r="F42" s="15" t="inlineStr">
        <is>
          <t>Transit cigarettes</t>
        </is>
      </c>
      <c r="G42" s="15" t="inlineStr">
        <is>
          <t>7 740 cartons de BUSINESS ROYAL FF sans mention sanitaire destinés à AVENTUS NIGER SARL.</t>
        </is>
      </c>
      <c r="H42" s="15" t="inlineStr">
        <is>
          <t>Source portuaire</t>
        </is>
      </c>
      <c r="I42" s="15" t="inlineStr">
        <is>
          <t>Oui</t>
        </is>
      </c>
      <c r="J42" s="15" t="inlineStr">
        <is>
          <t>A</t>
        </is>
      </c>
      <c r="K42" s="15" t="n">
        <v>1</v>
      </c>
      <c r="L42" s="15" t="inlineStr">
        <is>
          <t>Immédiat</t>
        </is>
      </c>
      <c r="M42" s="15" t="inlineStr">
        <is>
          <t>Très élevé</t>
        </is>
      </c>
      <c r="N42" s="15" t="inlineStr">
        <is>
          <t>Actionnable</t>
        </is>
      </c>
      <c r="O42" s="15" t="inlineStr">
        <is>
          <t>Suivi</t>
        </is>
      </c>
      <c r="P42" s="15" t="inlineStr">
        <is>
          <t>Oui</t>
        </is>
      </c>
      <c r="Q42" s="15" t="inlineStr">
        <is>
          <t>Surveillance renforcée</t>
        </is>
      </c>
      <c r="R42" s="15" t="inlineStr">
        <is>
          <t>Oui</t>
        </is>
      </c>
      <c r="S42" s="15" t="inlineStr">
        <is>
          <t>TEMA-MAI26-A06</t>
        </is>
      </c>
      <c r="T42" s="15" t="inlineStr">
        <is>
          <t>Restreinte</t>
        </is>
      </c>
      <c r="U42" s="10" t="n">
        <v>46197</v>
      </c>
      <c r="V42" s="15" t="inlineStr">
        <is>
          <t>PF Ghana</t>
        </is>
      </c>
      <c r="W42" s="15" t="inlineStr">
        <is>
          <t>Cargaison à fort volume.</t>
        </is>
      </c>
    </row>
    <row r="43" ht="15.75" customHeight="1" s="23">
      <c r="A43" s="15" t="inlineStr">
        <is>
          <t>GEI-GHA-2026-017</t>
        </is>
      </c>
      <c r="B43" s="10" t="n">
        <v>46143</v>
      </c>
      <c r="C43" s="15" t="inlineStr">
        <is>
          <t>Point focal Ghana</t>
        </is>
      </c>
      <c r="D43" s="15" t="inlineStr">
        <is>
          <t>Niger</t>
        </is>
      </c>
      <c r="E43" s="15" t="inlineStr">
        <is>
          <t>Tema–Hamile–Niger</t>
        </is>
      </c>
      <c r="F43" s="15" t="inlineStr">
        <is>
          <t>Transit cigarettes</t>
        </is>
      </c>
      <c r="G43" s="15" t="inlineStr">
        <is>
          <t>Cargaison de SUPERMATCH destinée à AVENTUS NIGER SARL.</t>
        </is>
      </c>
      <c r="H43" s="15" t="inlineStr">
        <is>
          <t>Source portuaire</t>
        </is>
      </c>
      <c r="I43" s="15" t="inlineStr">
        <is>
          <t>Oui</t>
        </is>
      </c>
      <c r="J43" s="15" t="inlineStr">
        <is>
          <t>A</t>
        </is>
      </c>
      <c r="K43" s="15" t="n">
        <v>1</v>
      </c>
      <c r="L43" s="15" t="inlineStr">
        <is>
          <t>Immédiat</t>
        </is>
      </c>
      <c r="M43" s="15" t="inlineStr">
        <is>
          <t>Élevé</t>
        </is>
      </c>
      <c r="N43" s="15" t="inlineStr">
        <is>
          <t>À compléter</t>
        </is>
      </c>
      <c r="O43" s="15" t="inlineStr">
        <is>
          <t>Suivi</t>
        </is>
      </c>
      <c r="P43" s="15" t="inlineStr">
        <is>
          <t>Oui</t>
        </is>
      </c>
      <c r="Q43" s="15" t="inlineStr">
        <is>
          <t>Vérification quantité et marque</t>
        </is>
      </c>
      <c r="R43" s="15" t="inlineStr">
        <is>
          <t>Oui</t>
        </is>
      </c>
      <c r="S43" s="15" t="inlineStr">
        <is>
          <t>TEMA-MAI26-A07</t>
        </is>
      </c>
      <c r="T43" s="15" t="inlineStr">
        <is>
          <t>Restreinte</t>
        </is>
      </c>
      <c r="U43" s="10" t="n">
        <v>46197</v>
      </c>
      <c r="V43" s="15" t="inlineStr">
        <is>
          <t>PF Ghana</t>
        </is>
      </c>
      <c r="W43" s="15" t="inlineStr">
        <is>
          <t>B/L absent du manifeste maritime.</t>
        </is>
      </c>
    </row>
    <row r="44" ht="15.75" customHeight="1" s="23">
      <c r="A44" s="15" t="inlineStr">
        <is>
          <t>GEI-GHA-2026-018</t>
        </is>
      </c>
      <c r="B44" s="10" t="n">
        <v>46164</v>
      </c>
      <c r="C44" s="15" t="inlineStr">
        <is>
          <t>Point focal Ghana</t>
        </is>
      </c>
      <c r="D44" s="15" t="inlineStr">
        <is>
          <t>Niger</t>
        </is>
      </c>
      <c r="E44" s="15" t="inlineStr">
        <is>
          <t>Tema → Niger</t>
        </is>
      </c>
      <c r="F44" s="15" t="inlineStr">
        <is>
          <t>Transit cigarettes</t>
        </is>
      </c>
      <c r="G44" s="15" t="inlineStr">
        <is>
          <t>Cargaison de cigarettes (marque à confirmer) destinée à AVENTUS NIGER SARL.</t>
        </is>
      </c>
      <c r="H44" s="15" t="inlineStr">
        <is>
          <t>Source portuaire</t>
        </is>
      </c>
      <c r="I44" s="15" t="inlineStr">
        <is>
          <t>Oui</t>
        </is>
      </c>
      <c r="J44" s="15" t="inlineStr">
        <is>
          <t>A</t>
        </is>
      </c>
      <c r="K44" s="15" t="n">
        <v>1</v>
      </c>
      <c r="L44" s="15" t="inlineStr">
        <is>
          <t>Immédiat</t>
        </is>
      </c>
      <c r="M44" s="15" t="inlineStr">
        <is>
          <t>Élevé</t>
        </is>
      </c>
      <c r="N44" s="15" t="inlineStr">
        <is>
          <t>À compléter</t>
        </is>
      </c>
      <c r="O44" s="15" t="inlineStr">
        <is>
          <t>Suivi</t>
        </is>
      </c>
      <c r="P44" s="15" t="inlineStr">
        <is>
          <t>Oui</t>
        </is>
      </c>
      <c r="Q44" s="15" t="inlineStr">
        <is>
          <t>Vérification documentaire</t>
        </is>
      </c>
      <c r="R44" s="15" t="inlineStr">
        <is>
          <t>Oui</t>
        </is>
      </c>
      <c r="S44" s="15" t="inlineStr">
        <is>
          <t>TEMA-MAI26-A08</t>
        </is>
      </c>
      <c r="T44" s="15" t="inlineStr">
        <is>
          <t>Restreinte</t>
        </is>
      </c>
      <c r="U44" s="10" t="n">
        <v>46197</v>
      </c>
      <c r="V44" s="15" t="inlineStr">
        <is>
          <t>PF Ghana</t>
        </is>
      </c>
      <c r="W44" s="15" t="inlineStr">
        <is>
          <t>Origine Durban, Afrique du Sud.</t>
        </is>
      </c>
    </row>
    <row r="45" ht="15.75" customHeight="1" s="23">
      <c r="A45" s="15" t="inlineStr">
        <is>
          <t>GEI-GHA-2026-019</t>
        </is>
      </c>
      <c r="B45" s="10" t="n">
        <v>46172</v>
      </c>
      <c r="C45" s="15" t="inlineStr">
        <is>
          <t>Point focal Ghana</t>
        </is>
      </c>
      <c r="D45" s="15" t="inlineStr">
        <is>
          <t>Niger</t>
        </is>
      </c>
      <c r="E45" s="15" t="inlineStr">
        <is>
          <t>Tema → Niger</t>
        </is>
      </c>
      <c r="F45" s="15" t="inlineStr">
        <is>
          <t>Transit cigarettes / cigares</t>
        </is>
      </c>
      <c r="G45" s="15" t="inlineStr">
        <is>
          <t>BOHEM, TIME, EDGE et BOHEM CHANGE destinés à SITOR SARL.</t>
        </is>
      </c>
      <c r="H45" s="15" t="inlineStr">
        <is>
          <t>Source portuaire</t>
        </is>
      </c>
      <c r="I45" s="15" t="inlineStr">
        <is>
          <t>Oui</t>
        </is>
      </c>
      <c r="J45" s="15" t="inlineStr">
        <is>
          <t>A</t>
        </is>
      </c>
      <c r="K45" s="15" t="n">
        <v>1</v>
      </c>
      <c r="L45" s="15" t="inlineStr">
        <is>
          <t>Immédiat</t>
        </is>
      </c>
      <c r="M45" s="15" t="inlineStr">
        <is>
          <t>Élevé</t>
        </is>
      </c>
      <c r="N45" s="15" t="inlineStr">
        <is>
          <t>À compléter</t>
        </is>
      </c>
      <c r="O45" s="15" t="inlineStr">
        <is>
          <t>Suivi</t>
        </is>
      </c>
      <c r="P45" s="15" t="inlineStr">
        <is>
          <t>Oui</t>
        </is>
      </c>
      <c r="Q45" s="15" t="inlineStr">
        <is>
          <t>Surveillance importateur</t>
        </is>
      </c>
      <c r="R45" s="15" t="inlineStr">
        <is>
          <t>Oui</t>
        </is>
      </c>
      <c r="S45" s="15" t="inlineStr">
        <is>
          <t>TEMA-MAI26-A09</t>
        </is>
      </c>
      <c r="T45" s="15" t="inlineStr">
        <is>
          <t>Restreinte</t>
        </is>
      </c>
      <c r="U45" s="10" t="n">
        <v>46197</v>
      </c>
      <c r="V45" s="15" t="inlineStr">
        <is>
          <t>PF Ghana</t>
        </is>
      </c>
      <c r="W45" s="15" t="inlineStr">
        <is>
          <t>Produits en provenance de Corée du Sud.</t>
        </is>
      </c>
    </row>
    <row r="46" ht="15.75" customHeight="1" s="23">
      <c r="A46" s="15" t="inlineStr">
        <is>
          <t>GEI-GHA-2026-020</t>
        </is>
      </c>
      <c r="B46" s="10" t="n">
        <v>46148</v>
      </c>
      <c r="C46" s="15" t="inlineStr">
        <is>
          <t>Point focal Ghana</t>
        </is>
      </c>
      <c r="D46" s="15" t="inlineStr">
        <is>
          <t>Côte d'Ivoire</t>
        </is>
      </c>
      <c r="E46" s="15" t="inlineStr">
        <is>
          <t>Tema–Osei Kojokrom–CI</t>
        </is>
      </c>
      <c r="F46" s="15" t="inlineStr">
        <is>
          <t>Transit cigarettes / cigares</t>
        </is>
      </c>
      <c r="G46" s="15" t="inlineStr">
        <is>
          <t>BOHEM et CARNIVAL destinés à LMC-I SARL en Côte d'Ivoire.</t>
        </is>
      </c>
      <c r="H46" s="15" t="inlineStr">
        <is>
          <t>Source portuaire</t>
        </is>
      </c>
      <c r="I46" s="15" t="inlineStr">
        <is>
          <t>Oui</t>
        </is>
      </c>
      <c r="J46" s="15" t="inlineStr">
        <is>
          <t>A</t>
        </is>
      </c>
      <c r="K46" s="15" t="n">
        <v>1</v>
      </c>
      <c r="L46" s="15" t="inlineStr">
        <is>
          <t>72h</t>
        </is>
      </c>
      <c r="M46" s="15" t="inlineStr">
        <is>
          <t>Moyen</t>
        </is>
      </c>
      <c r="N46" s="15" t="inlineStr">
        <is>
          <t>À compléter</t>
        </is>
      </c>
      <c r="O46" s="15" t="inlineStr">
        <is>
          <t>Suivi</t>
        </is>
      </c>
      <c r="P46" s="15" t="inlineStr">
        <is>
          <t>Oui</t>
        </is>
      </c>
      <c r="Q46" s="15" t="inlineStr">
        <is>
          <t>Vérification arrivée CI</t>
        </is>
      </c>
      <c r="R46" s="15" t="inlineStr">
        <is>
          <t>Oui</t>
        </is>
      </c>
      <c r="S46" s="15" t="inlineStr">
        <is>
          <t>TEMA-MAI26-A10</t>
        </is>
      </c>
      <c r="T46" s="15" t="inlineStr">
        <is>
          <t>Restreinte</t>
        </is>
      </c>
      <c r="U46" s="10" t="n">
        <v>46197</v>
      </c>
      <c r="V46" s="15" t="inlineStr">
        <is>
          <t>PF Ghana</t>
        </is>
      </c>
      <c r="W46" s="15" t="inlineStr">
        <is>
          <t>Trois B/L associés à une même opération logistique.</t>
        </is>
      </c>
    </row>
    <row r="47" ht="15.75" customHeight="1" s="23">
      <c r="A47" s="15" t="inlineStr">
        <is>
          <t>GEI-CIV-2026-001</t>
        </is>
      </c>
      <c r="B47" s="10" t="n">
        <v>46174</v>
      </c>
      <c r="C47" s="15" t="inlineStr">
        <is>
          <t>Point focal Ghana</t>
        </is>
      </c>
      <c r="D47" s="15" t="inlineStr">
        <is>
          <t>Côte d'Ivoire</t>
        </is>
      </c>
      <c r="E47" s="15" t="inlineStr">
        <is>
          <t>Tema – Osei Kojokrom – Côte d'Ivoire</t>
        </is>
      </c>
      <c r="F47" s="15" t="inlineStr">
        <is>
          <t>Transit cigarettes / cigares</t>
        </is>
      </c>
      <c r="G47" s="15" t="inlineStr">
        <is>
          <t>Cargaison de BOHEM (petits cigares) destinée à LMC-I SARL.</t>
        </is>
      </c>
      <c r="H47" s="15" t="inlineStr">
        <is>
          <t>Source portuaire</t>
        </is>
      </c>
      <c r="I47" s="15" t="inlineStr">
        <is>
          <t>Oui</t>
        </is>
      </c>
      <c r="J47" s="15" t="inlineStr">
        <is>
          <t>A</t>
        </is>
      </c>
      <c r="K47" s="15" t="n">
        <v>1</v>
      </c>
      <c r="L47" s="15" t="inlineStr">
        <is>
          <t>72h</t>
        </is>
      </c>
      <c r="M47" s="15" t="inlineStr">
        <is>
          <t>Moyen</t>
        </is>
      </c>
      <c r="N47" s="15" t="inlineStr">
        <is>
          <t>À compléter</t>
        </is>
      </c>
      <c r="O47" s="15" t="inlineStr">
        <is>
          <t>Suivi</t>
        </is>
      </c>
      <c r="P47" s="15" t="inlineStr">
        <is>
          <t>Oui</t>
        </is>
      </c>
      <c r="Q47" s="15" t="inlineStr">
        <is>
          <t>Vérification de l'arrivée en Côte d'Ivoire</t>
        </is>
      </c>
      <c r="R47" s="15" t="inlineStr">
        <is>
          <t>Oui – B/L et manifeste</t>
        </is>
      </c>
      <c r="S47" s="15" t="inlineStr">
        <is>
          <t>TEMA-MAI26-A11</t>
        </is>
      </c>
      <c r="T47" s="15" t="inlineStr">
        <is>
          <t>Restreinte</t>
        </is>
      </c>
      <c r="U47" s="10" t="n">
        <v>46197</v>
      </c>
      <c r="V47" s="15" t="inlineStr">
        <is>
          <t>PF Côte d'Ivoire</t>
        </is>
      </c>
      <c r="W47" s="15" t="inlineStr">
        <is>
          <t>Un B/L déclaré hors manifeste maritime ; utilisation du corridor Tema–Côte d'Ivoire.</t>
        </is>
      </c>
    </row>
    <row r="48" ht="15.75" customHeight="1" s="23">
      <c r="A48" s="15" t="inlineStr">
        <is>
          <t>GEI-CIV-2026-002</t>
        </is>
      </c>
      <c r="B48" s="10" t="n">
        <v>46153</v>
      </c>
      <c r="C48" s="15" t="inlineStr">
        <is>
          <t>Point focal Ghana</t>
        </is>
      </c>
      <c r="D48" s="15" t="inlineStr">
        <is>
          <t>Côte d'Ivoire</t>
        </is>
      </c>
      <c r="E48" s="15" t="inlineStr">
        <is>
          <t>Tema – Côte d'Ivoire</t>
        </is>
      </c>
      <c r="F48" s="15" t="inlineStr">
        <is>
          <t>Transit cigarettes / cigares</t>
        </is>
      </c>
      <c r="G48" s="15" t="inlineStr">
        <is>
          <t>Cargaison de CARNIVAL (petits cigares) destinée à LMC-I SARL.</t>
        </is>
      </c>
      <c r="H48" s="15" t="inlineStr">
        <is>
          <t>Source portuaire</t>
        </is>
      </c>
      <c r="I48" s="15" t="inlineStr">
        <is>
          <t>Oui</t>
        </is>
      </c>
      <c r="J48" s="15" t="inlineStr">
        <is>
          <t>A</t>
        </is>
      </c>
      <c r="K48" s="15" t="n">
        <v>1</v>
      </c>
      <c r="L48" s="15" t="inlineStr">
        <is>
          <t>72h</t>
        </is>
      </c>
      <c r="M48" s="15" t="inlineStr">
        <is>
          <t>Moyen</t>
        </is>
      </c>
      <c r="N48" s="15" t="inlineStr">
        <is>
          <t>À compléter</t>
        </is>
      </c>
      <c r="O48" s="15" t="inlineStr">
        <is>
          <t>Suivi</t>
        </is>
      </c>
      <c r="P48" s="15" t="inlineStr">
        <is>
          <t>Oui</t>
        </is>
      </c>
      <c r="Q48" s="15" t="inlineStr">
        <is>
          <t>Contrôle documentaire</t>
        </is>
      </c>
      <c r="R48" s="15" t="inlineStr">
        <is>
          <t>Oui – B/L et manifeste</t>
        </is>
      </c>
      <c r="S48" s="15" t="inlineStr">
        <is>
          <t>TEMA-MAI26-A12</t>
        </is>
      </c>
      <c r="T48" s="15" t="inlineStr">
        <is>
          <t>Restreinte</t>
        </is>
      </c>
      <c r="U48" s="10" t="n">
        <v>46197</v>
      </c>
      <c r="V48" s="15" t="inlineStr">
        <is>
          <t>PF Côte d'Ivoire</t>
        </is>
      </c>
      <c r="W48" s="15" t="inlineStr">
        <is>
          <t>Importation en provenance de Busan (Corée du Sud).</t>
        </is>
      </c>
    </row>
    <row r="49" ht="15.75" customHeight="1" s="23">
      <c r="A49" s="15" t="inlineStr">
        <is>
          <t>GEI-CIV-2026-003</t>
        </is>
      </c>
      <c r="B49" s="10" t="n">
        <v>46153</v>
      </c>
      <c r="C49" s="15" t="inlineStr">
        <is>
          <t>Point focal Ghana</t>
        </is>
      </c>
      <c r="D49" s="15" t="inlineStr">
        <is>
          <t>Côte d'Ivoire</t>
        </is>
      </c>
      <c r="E49" s="15" t="inlineStr">
        <is>
          <t>Tema – Osei Kojokrom – Côte d'Ivoire</t>
        </is>
      </c>
      <c r="F49" s="15" t="inlineStr">
        <is>
          <t>Transit cigarettes</t>
        </is>
      </c>
      <c r="G49" s="15" t="inlineStr">
        <is>
          <t>Cargaison de marque à confirmer destinée à LMC-I SARL.</t>
        </is>
      </c>
      <c r="H49" s="15" t="inlineStr">
        <is>
          <t>Source portuaire</t>
        </is>
      </c>
      <c r="I49" s="15" t="inlineStr">
        <is>
          <t>Oui</t>
        </is>
      </c>
      <c r="J49" s="15" t="inlineStr">
        <is>
          <t>A</t>
        </is>
      </c>
      <c r="K49" s="15" t="n">
        <v>1</v>
      </c>
      <c r="L49" s="15" t="inlineStr">
        <is>
          <t>72h</t>
        </is>
      </c>
      <c r="M49" s="15" t="inlineStr">
        <is>
          <t>Moyen</t>
        </is>
      </c>
      <c r="N49" s="15" t="inlineStr">
        <is>
          <t>À compléter</t>
        </is>
      </c>
      <c r="O49" s="15" t="inlineStr">
        <is>
          <t>Suivi</t>
        </is>
      </c>
      <c r="P49" s="15" t="inlineStr">
        <is>
          <t>Oui</t>
        </is>
      </c>
      <c r="Q49" s="15" t="inlineStr">
        <is>
          <t>Vérification de la marque et des quantités</t>
        </is>
      </c>
      <c r="R49" s="15" t="inlineStr">
        <is>
          <t>Oui – B/L et manifeste</t>
        </is>
      </c>
      <c r="S49" s="15" t="inlineStr">
        <is>
          <t>TEMA-MAI26-A13</t>
        </is>
      </c>
      <c r="T49" s="15" t="inlineStr">
        <is>
          <t>Restreinte</t>
        </is>
      </c>
      <c r="U49" s="10" t="n">
        <v>46197</v>
      </c>
      <c r="V49" s="15" t="inlineStr">
        <is>
          <t>PF Côte d'Ivoire</t>
        </is>
      </c>
      <c r="W49" s="15" t="inlineStr">
        <is>
          <t>Plusieurs conteneurs ; un B/L déclaré hors manifeste maritime.</t>
        </is>
      </c>
    </row>
    <row r="50" ht="15.75" customHeight="1" s="23">
      <c r="A50" s="15" t="inlineStr">
        <is>
          <t>GEI-CIV-2026-004</t>
        </is>
      </c>
      <c r="B50" s="10" t="n">
        <v>46143</v>
      </c>
      <c r="C50" s="15" t="inlineStr">
        <is>
          <t>Point focal Ghana</t>
        </is>
      </c>
      <c r="D50" s="15" t="inlineStr">
        <is>
          <t>Côte d'Ivoire</t>
        </is>
      </c>
      <c r="E50" s="15" t="inlineStr">
        <is>
          <t>Tema – Côte d'Ivoire</t>
        </is>
      </c>
      <c r="F50" s="15" t="inlineStr">
        <is>
          <t>Transit cigares</t>
        </is>
      </c>
      <c r="G50" s="15" t="inlineStr">
        <is>
          <t>600 boxes de cigares destinés à ZYMO COMPAGNIE.</t>
        </is>
      </c>
      <c r="H50" s="15" t="inlineStr">
        <is>
          <t>Source portuaire</t>
        </is>
      </c>
      <c r="I50" s="15" t="inlineStr">
        <is>
          <t>Oui</t>
        </is>
      </c>
      <c r="J50" s="15" t="inlineStr">
        <is>
          <t>A</t>
        </is>
      </c>
      <c r="K50" s="15" t="n">
        <v>1</v>
      </c>
      <c r="L50" s="15" t="inlineStr">
        <is>
          <t>72h</t>
        </is>
      </c>
      <c r="M50" s="15" t="inlineStr">
        <is>
          <t>Moyen</t>
        </is>
      </c>
      <c r="N50" s="15" t="inlineStr">
        <is>
          <t>À compléter</t>
        </is>
      </c>
      <c r="O50" s="15" t="inlineStr">
        <is>
          <t>Suivi</t>
        </is>
      </c>
      <c r="P50" s="15" t="inlineStr">
        <is>
          <t>Oui</t>
        </is>
      </c>
      <c r="Q50" s="15" t="inlineStr">
        <is>
          <t>Vérification de la marque</t>
        </is>
      </c>
      <c r="R50" s="15" t="inlineStr">
        <is>
          <t>Oui – B/L et manifeste</t>
        </is>
      </c>
      <c r="S50" s="15" t="inlineStr">
        <is>
          <t>TEMA-MAI26-A14</t>
        </is>
      </c>
      <c r="T50" s="15" t="inlineStr">
        <is>
          <t>Restreinte</t>
        </is>
      </c>
      <c r="U50" s="10" t="n">
        <v>46197</v>
      </c>
      <c r="V50" s="15" t="inlineStr">
        <is>
          <t>PF Côte d'Ivoire</t>
        </is>
      </c>
      <c r="W50" s="15" t="inlineStr">
        <is>
          <t>Origine Livourne (Italie).</t>
        </is>
      </c>
    </row>
    <row r="51" ht="15.75" customHeight="1" s="23">
      <c r="A51" s="15" t="inlineStr">
        <is>
          <t>GEI-GIN-2026-001</t>
        </is>
      </c>
      <c r="B51" s="10" t="n">
        <v>46145</v>
      </c>
      <c r="C51" s="15" t="inlineStr">
        <is>
          <t>Point focal Ghana</t>
        </is>
      </c>
      <c r="D51" s="15" t="inlineStr">
        <is>
          <t>Guinée</t>
        </is>
      </c>
      <c r="E51" s="15" t="inlineStr">
        <is>
          <t>Tema – Guinée (voie maritime)</t>
        </is>
      </c>
      <c r="F51" s="15" t="inlineStr">
        <is>
          <t>Transit cigarettes</t>
        </is>
      </c>
      <c r="G51" s="15" t="inlineStr">
        <is>
          <t>3 140 cartons ORIS « Vente en Guinée » destinés à IBS FAMILY SARL.</t>
        </is>
      </c>
      <c r="H51" s="15" t="inlineStr">
        <is>
          <t>Source portuaire</t>
        </is>
      </c>
      <c r="I51" s="15" t="inlineStr">
        <is>
          <t>Oui</t>
        </is>
      </c>
      <c r="J51" s="15" t="inlineStr">
        <is>
          <t>A</t>
        </is>
      </c>
      <c r="K51" s="15" t="n">
        <v>1</v>
      </c>
      <c r="L51" s="15" t="inlineStr">
        <is>
          <t>72h</t>
        </is>
      </c>
      <c r="M51" s="15" t="inlineStr">
        <is>
          <t>Moyen</t>
        </is>
      </c>
      <c r="N51" s="15" t="inlineStr">
        <is>
          <t>Actionnable</t>
        </is>
      </c>
      <c r="O51" s="15" t="inlineStr">
        <is>
          <t>Suivi</t>
        </is>
      </c>
      <c r="P51" s="15" t="inlineStr">
        <is>
          <t>Oui</t>
        </is>
      </c>
      <c r="Q51" s="15" t="inlineStr">
        <is>
          <t>Surveillance de l'arrivée en Guinée</t>
        </is>
      </c>
      <c r="R51" s="15" t="inlineStr">
        <is>
          <t>Oui – B/L et manifeste</t>
        </is>
      </c>
      <c r="S51" s="15" t="inlineStr">
        <is>
          <t>TEMA-MAI26-A15</t>
        </is>
      </c>
      <c r="T51" s="15" t="inlineStr">
        <is>
          <t>Restreinte</t>
        </is>
      </c>
      <c r="U51" s="10" t="n">
        <v>46197</v>
      </c>
      <c r="V51" s="15" t="inlineStr">
        <is>
          <t>PF Guinée</t>
        </is>
      </c>
      <c r="W51" s="15" t="inlineStr">
        <is>
          <t>Origine Jebel Ali (EAU).</t>
        </is>
      </c>
    </row>
    <row r="52" ht="15.75" customHeight="1" s="23">
      <c r="A52" s="15" t="inlineStr">
        <is>
          <t>GEI-AGO-2026-001</t>
        </is>
      </c>
      <c r="B52" s="10" t="n">
        <v>46149</v>
      </c>
      <c r="C52" s="15" t="inlineStr">
        <is>
          <t>Point focal Ghana</t>
        </is>
      </c>
      <c r="D52" s="15" t="inlineStr">
        <is>
          <t>Angola</t>
        </is>
      </c>
      <c r="E52" s="15" t="inlineStr">
        <is>
          <t>Tema – Angola (voie maritime)</t>
        </is>
      </c>
      <c r="F52" s="15" t="inlineStr">
        <is>
          <t>Transit cigarettes</t>
        </is>
      </c>
      <c r="G52" s="15" t="inlineStr">
        <is>
          <t>306 cartons de WILDHORSE destinés à ZONDA COMERCIO E CONSTRUCAO LDA.</t>
        </is>
      </c>
      <c r="H52" s="15" t="inlineStr">
        <is>
          <t>Source portuaire</t>
        </is>
      </c>
      <c r="I52" s="15" t="inlineStr">
        <is>
          <t>Oui</t>
        </is>
      </c>
      <c r="J52" s="15" t="inlineStr">
        <is>
          <t>A</t>
        </is>
      </c>
      <c r="K52" s="15" t="n">
        <v>1</v>
      </c>
      <c r="L52" s="15" t="inlineStr">
        <is>
          <t>72h</t>
        </is>
      </c>
      <c r="M52" s="15" t="inlineStr">
        <is>
          <t>Moyen à élevé</t>
        </is>
      </c>
      <c r="N52" s="15" t="inlineStr">
        <is>
          <t>Actionnable</t>
        </is>
      </c>
      <c r="O52" s="15" t="inlineStr">
        <is>
          <t>Suivi</t>
        </is>
      </c>
      <c r="P52" s="15" t="inlineStr">
        <is>
          <t>Oui</t>
        </is>
      </c>
      <c r="Q52" s="15" t="inlineStr">
        <is>
          <t>Surveillance du flux</t>
        </is>
      </c>
      <c r="R52" s="15" t="inlineStr">
        <is>
          <t>Oui – B/L et manifeste</t>
        </is>
      </c>
      <c r="S52" s="15" t="inlineStr">
        <is>
          <t>TEMA-MAI26-A16</t>
        </is>
      </c>
      <c r="T52" s="15" t="inlineStr">
        <is>
          <t>Restreinte</t>
        </is>
      </c>
      <c r="U52" s="10" t="n">
        <v>46197</v>
      </c>
      <c r="V52" s="15" t="inlineStr">
        <is>
          <t>PF Angola</t>
        </is>
      </c>
      <c r="W52" s="15" t="inlineStr">
        <is>
          <t>Flux atypique hors zone CEDEAO.</t>
        </is>
      </c>
    </row>
    <row r="53" ht="15.75" customHeight="1" s="23">
      <c r="A53" s="15" t="inlineStr">
        <is>
          <t>GEI-CMR-2026-001</t>
        </is>
      </c>
      <c r="B53" s="10" t="n">
        <v>46148</v>
      </c>
      <c r="C53" s="15" t="inlineStr">
        <is>
          <t>Point focal Ghana</t>
        </is>
      </c>
      <c r="D53" s="15" t="inlineStr">
        <is>
          <t>Cameroun</t>
        </is>
      </c>
      <c r="E53" s="15" t="inlineStr">
        <is>
          <t>Tema – Cameroun (voie maritime)</t>
        </is>
      </c>
      <c r="F53" s="15" t="inlineStr">
        <is>
          <t>Transit cigarettes</t>
        </is>
      </c>
      <c r="G53" s="15" t="inlineStr">
        <is>
          <t>223 packages de cigarettes (marque à confirmer) destinés à PRIME SARL.</t>
        </is>
      </c>
      <c r="H53" s="15" t="inlineStr">
        <is>
          <t>Source portuaire</t>
        </is>
      </c>
      <c r="I53" s="15" t="inlineStr">
        <is>
          <t>Oui</t>
        </is>
      </c>
      <c r="J53" s="15" t="inlineStr">
        <is>
          <t>A</t>
        </is>
      </c>
      <c r="K53" s="15" t="n">
        <v>1</v>
      </c>
      <c r="L53" s="15" t="inlineStr">
        <is>
          <t>72h</t>
        </is>
      </c>
      <c r="M53" s="15" t="inlineStr">
        <is>
          <t>Moyen à élevé</t>
        </is>
      </c>
      <c r="N53" s="15" t="inlineStr">
        <is>
          <t>À compléter</t>
        </is>
      </c>
      <c r="O53" s="15" t="inlineStr">
        <is>
          <t>Suivi</t>
        </is>
      </c>
      <c r="P53" s="15" t="inlineStr">
        <is>
          <t>Oui</t>
        </is>
      </c>
      <c r="Q53" s="15" t="inlineStr">
        <is>
          <t>Identification de la marque</t>
        </is>
      </c>
      <c r="R53" s="15" t="inlineStr">
        <is>
          <t>Oui – B/L et manifeste</t>
        </is>
      </c>
      <c r="S53" s="15" t="inlineStr">
        <is>
          <t>TEMA-MAI26-A17</t>
        </is>
      </c>
      <c r="T53" s="15" t="inlineStr">
        <is>
          <t>Restreinte</t>
        </is>
      </c>
      <c r="U53" s="10" t="n">
        <v>46197</v>
      </c>
      <c r="V53" s="15" t="inlineStr">
        <is>
          <t>PF Cameroun</t>
        </is>
      </c>
      <c r="W53" s="15" t="inlineStr">
        <is>
          <t>Flux atypique en provenance du Vietnam.</t>
        </is>
      </c>
    </row>
    <row r="54" ht="15.75" customHeight="1" s="23">
      <c r="A54" s="15" t="inlineStr">
        <is>
          <t>GEI-RDC-2026-001</t>
        </is>
      </c>
      <c r="B54" s="10" t="n">
        <v>46159</v>
      </c>
      <c r="C54" s="15" t="inlineStr">
        <is>
          <t>Point focal Ghana</t>
        </is>
      </c>
      <c r="D54" s="15" t="inlineStr">
        <is>
          <t>RD Congo</t>
        </is>
      </c>
      <c r="E54" s="15" t="inlineStr">
        <is>
          <t>Tema – RD Congo (voie maritime)</t>
        </is>
      </c>
      <c r="F54" s="15" t="inlineStr">
        <is>
          <t>Transit cigarettes</t>
        </is>
      </c>
      <c r="G54" s="15" t="inlineStr">
        <is>
          <t>400 cartons de WILDHORSE destinés à Société Fouani Congo SARL.</t>
        </is>
      </c>
      <c r="H54" s="15" t="inlineStr">
        <is>
          <t>Source portuaire</t>
        </is>
      </c>
      <c r="I54" s="15" t="inlineStr">
        <is>
          <t>Oui</t>
        </is>
      </c>
      <c r="J54" s="15" t="inlineStr">
        <is>
          <t>A</t>
        </is>
      </c>
      <c r="K54" s="15" t="n">
        <v>1</v>
      </c>
      <c r="L54" s="15" t="inlineStr">
        <is>
          <t>72h</t>
        </is>
      </c>
      <c r="M54" s="15" t="inlineStr">
        <is>
          <t>Moyen à élevé</t>
        </is>
      </c>
      <c r="N54" s="15" t="inlineStr">
        <is>
          <t>Actionnable</t>
        </is>
      </c>
      <c r="O54" s="15" t="inlineStr">
        <is>
          <t>Suivi</t>
        </is>
      </c>
      <c r="P54" s="15" t="inlineStr">
        <is>
          <t>Oui</t>
        </is>
      </c>
      <c r="Q54" s="15" t="inlineStr">
        <is>
          <t>Surveillance de l'arrivée</t>
        </is>
      </c>
      <c r="R54" s="15" t="inlineStr">
        <is>
          <t>Oui – B/L et manifeste</t>
        </is>
      </c>
      <c r="S54" s="15" t="inlineStr">
        <is>
          <t>TEMA-MAI26-A18</t>
        </is>
      </c>
      <c r="T54" s="15" t="inlineStr">
        <is>
          <t>Restreinte</t>
        </is>
      </c>
      <c r="U54" s="10" t="n">
        <v>46197</v>
      </c>
      <c r="V54" s="15" t="inlineStr">
        <is>
          <t>PF RD Congo</t>
        </is>
      </c>
      <c r="W54" s="15" t="inlineStr">
        <is>
          <t>Flux atypique hors zone CEDEAO.</t>
        </is>
      </c>
    </row>
    <row r="55" ht="15.75" customHeight="1" s="23">
      <c r="A55" s="15" t="inlineStr">
        <is>
          <t>GEI-GHA-2026-021</t>
        </is>
      </c>
      <c r="B55" s="10" t="n">
        <v>46148</v>
      </c>
      <c r="C55" s="15" t="inlineStr">
        <is>
          <t>Point focal Ghana</t>
        </is>
      </c>
      <c r="D55" s="15" t="inlineStr">
        <is>
          <t>Ghana</t>
        </is>
      </c>
      <c r="E55" s="15" t="inlineStr">
        <is>
          <t>Port de Tema</t>
        </is>
      </c>
      <c r="F55" s="15" t="inlineStr">
        <is>
          <t>Veille marché</t>
        </is>
      </c>
      <c r="G55" s="15" t="inlineStr">
        <is>
          <t>1 290 cartons ORIENTAL « Vente au Ghana » destinés à TARGETLINK LTD.</t>
        </is>
      </c>
      <c r="H55" s="15" t="inlineStr">
        <is>
          <t>Source portuaire</t>
        </is>
      </c>
      <c r="I55" s="15" t="inlineStr">
        <is>
          <t>Oui</t>
        </is>
      </c>
      <c r="J55" s="15" t="inlineStr">
        <is>
          <t>A</t>
        </is>
      </c>
      <c r="K55" s="15" t="n">
        <v>1</v>
      </c>
      <c r="L55" s="15" t="inlineStr">
        <is>
          <t>Routine</t>
        </is>
      </c>
      <c r="M55" s="15" t="inlineStr">
        <is>
          <t>Faible</t>
        </is>
      </c>
      <c r="N55" s="15" t="inlineStr">
        <is>
          <t>Archivage</t>
        </is>
      </c>
      <c r="O55" s="15" t="inlineStr">
        <is>
          <t>Suivi</t>
        </is>
      </c>
      <c r="P55" s="15" t="inlineStr">
        <is>
          <t>Non</t>
        </is>
      </c>
      <c r="Q55" s="15" t="inlineStr">
        <is>
          <t>Veille marché</t>
        </is>
      </c>
      <c r="R55" s="15" t="inlineStr">
        <is>
          <t>Oui – B/L et manifeste</t>
        </is>
      </c>
      <c r="S55" s="15" t="inlineStr">
        <is>
          <t>TEMA-MAI26-A19</t>
        </is>
      </c>
      <c r="T55" s="15" t="inlineStr">
        <is>
          <t>Interne</t>
        </is>
      </c>
      <c r="U55" s="10" t="n">
        <v>46197</v>
      </c>
      <c r="V55" s="15" t="inlineStr">
        <is>
          <t>PF Ghana</t>
        </is>
      </c>
      <c r="W55" s="15" t="inlineStr">
        <is>
          <t>Importation destinée au marché légal ghanéen.</t>
        </is>
      </c>
    </row>
    <row r="56" ht="15.75" customHeight="1" s="23">
      <c r="A56" s="15" t="inlineStr">
        <is>
          <t>GEI-GHA-2026-022</t>
        </is>
      </c>
      <c r="B56" s="10" t="n">
        <v>46170</v>
      </c>
      <c r="C56" s="15" t="inlineStr">
        <is>
          <t>Point focal Ghana</t>
        </is>
      </c>
      <c r="D56" s="15" t="inlineStr">
        <is>
          <t>Ghana</t>
        </is>
      </c>
      <c r="E56" s="15" t="inlineStr">
        <is>
          <t>Port de Tema</t>
        </is>
      </c>
      <c r="F56" s="15" t="inlineStr">
        <is>
          <t>Veille marché</t>
        </is>
      </c>
      <c r="G56" s="15" t="inlineStr">
        <is>
          <t>1 820 cartons de cigarettes (marque à confirmer) destinés à TARGETLINK LTD.</t>
        </is>
      </c>
      <c r="H56" s="15" t="inlineStr">
        <is>
          <t>Source portuaire</t>
        </is>
      </c>
      <c r="I56" s="15" t="inlineStr">
        <is>
          <t>Oui</t>
        </is>
      </c>
      <c r="J56" s="15" t="inlineStr">
        <is>
          <t>A</t>
        </is>
      </c>
      <c r="K56" s="15" t="n">
        <v>1</v>
      </c>
      <c r="L56" s="15" t="inlineStr">
        <is>
          <t>Routine</t>
        </is>
      </c>
      <c r="M56" s="15" t="inlineStr">
        <is>
          <t>Faible</t>
        </is>
      </c>
      <c r="N56" s="15" t="inlineStr">
        <is>
          <t>Archivage</t>
        </is>
      </c>
      <c r="O56" s="15" t="inlineStr">
        <is>
          <t>Suivi</t>
        </is>
      </c>
      <c r="P56" s="15" t="inlineStr">
        <is>
          <t>Non</t>
        </is>
      </c>
      <c r="Q56" s="15" t="inlineStr">
        <is>
          <t>Veille marché</t>
        </is>
      </c>
      <c r="R56" s="15" t="inlineStr">
        <is>
          <t>Oui – B/L et manifeste</t>
        </is>
      </c>
      <c r="S56" s="15" t="inlineStr">
        <is>
          <t>TEMA-MAI26-A20</t>
        </is>
      </c>
      <c r="T56" s="15" t="inlineStr">
        <is>
          <t>Interne</t>
        </is>
      </c>
      <c r="U56" s="10" t="n">
        <v>46197</v>
      </c>
      <c r="V56" s="15" t="inlineStr">
        <is>
          <t>PF Ghana</t>
        </is>
      </c>
      <c r="W56" s="15" t="inlineStr">
        <is>
          <t>Marque non précisée dans les documents ; suivi de marché uniquement.</t>
        </is>
      </c>
    </row>
    <row r="57" ht="15.75" customHeight="1" s="23">
      <c r="A57" s="15" t="inlineStr">
        <is>
          <t>GEI-GHA-2026-023</t>
        </is>
      </c>
      <c r="B57" s="10" t="n">
        <v>46164</v>
      </c>
      <c r="C57" s="15" t="inlineStr">
        <is>
          <t>Point focal Ghana</t>
        </is>
      </c>
      <c r="D57" s="15" t="inlineStr">
        <is>
          <t>Ghana</t>
        </is>
      </c>
      <c r="E57" s="15" t="inlineStr">
        <is>
          <t>Port de Tema</t>
        </is>
      </c>
      <c r="F57" s="15" t="inlineStr">
        <is>
          <t>Veille marché</t>
        </is>
      </c>
      <c r="G57" s="15" t="inlineStr">
        <is>
          <t>376 cartons de cigarettes (marque à confirmer) destinés à MEDSOLUTION GH LTD.</t>
        </is>
      </c>
      <c r="H57" s="15" t="inlineStr">
        <is>
          <t>Source portuaire</t>
        </is>
      </c>
      <c r="I57" s="15" t="inlineStr">
        <is>
          <t>Oui</t>
        </is>
      </c>
      <c r="J57" s="15" t="inlineStr">
        <is>
          <t>A</t>
        </is>
      </c>
      <c r="K57" s="15" t="n">
        <v>1</v>
      </c>
      <c r="L57" s="15" t="inlineStr">
        <is>
          <t>Routine</t>
        </is>
      </c>
      <c r="M57" s="15" t="inlineStr">
        <is>
          <t>Faible</t>
        </is>
      </c>
      <c r="N57" s="15" t="inlineStr">
        <is>
          <t>Archivage</t>
        </is>
      </c>
      <c r="O57" s="15" t="inlineStr">
        <is>
          <t>Suivi</t>
        </is>
      </c>
      <c r="P57" s="15" t="inlineStr">
        <is>
          <t>Non</t>
        </is>
      </c>
      <c r="Q57" s="15" t="inlineStr">
        <is>
          <t>Veille marché</t>
        </is>
      </c>
      <c r="R57" s="15" t="inlineStr">
        <is>
          <t>Oui – B/L et manifeste</t>
        </is>
      </c>
      <c r="S57" s="15" t="inlineStr">
        <is>
          <t>TEMA-MAI26-A21</t>
        </is>
      </c>
      <c r="T57" s="15" t="inlineStr">
        <is>
          <t>Interne</t>
        </is>
      </c>
      <c r="U57" s="10" t="n">
        <v>46197</v>
      </c>
      <c r="V57" s="15" t="inlineStr">
        <is>
          <t>PF Ghana</t>
        </is>
      </c>
      <c r="W57" s="15" t="inlineStr">
        <is>
          <t>Importation destinée au marché ghanéen. Origine Singapour. Marque non précisée dans les documents ; à confirmer.</t>
        </is>
      </c>
    </row>
    <row r="58" ht="15.75" customHeight="1" s="23">
      <c r="A58" s="15" t="inlineStr">
        <is>
          <t>GEI-GHA-2026-024</t>
        </is>
      </c>
      <c r="B58" s="10" t="n">
        <v>46152</v>
      </c>
      <c r="C58" s="15" t="inlineStr">
        <is>
          <t>Point focal Ghana</t>
        </is>
      </c>
      <c r="D58" s="15" t="inlineStr">
        <is>
          <t>Ghana</t>
        </is>
      </c>
      <c r="E58" s="15" t="inlineStr">
        <is>
          <t>Port de Tema</t>
        </is>
      </c>
      <c r="F58" s="15" t="inlineStr">
        <is>
          <t>Veille marché</t>
        </is>
      </c>
      <c r="G58" s="15" t="inlineStr">
        <is>
          <t>11 000 cartons de ROTHMANS OF LONDON destinés à BRITISH AMERICAN TOBACCO GHANA.</t>
        </is>
      </c>
      <c r="H58" s="15" t="inlineStr">
        <is>
          <t>Source portuaire</t>
        </is>
      </c>
      <c r="I58" s="15" t="inlineStr">
        <is>
          <t>Oui</t>
        </is>
      </c>
      <c r="J58" s="15" t="inlineStr">
        <is>
          <t>A</t>
        </is>
      </c>
      <c r="K58" s="15" t="n">
        <v>1</v>
      </c>
      <c r="L58" s="15" t="inlineStr">
        <is>
          <t>Routine</t>
        </is>
      </c>
      <c r="M58" s="15" t="inlineStr">
        <is>
          <t>Faible</t>
        </is>
      </c>
      <c r="N58" s="15" t="inlineStr">
        <is>
          <t>Archivage</t>
        </is>
      </c>
      <c r="O58" s="15" t="inlineStr">
        <is>
          <t>Suivi</t>
        </is>
      </c>
      <c r="P58" s="15" t="inlineStr">
        <is>
          <t>Non</t>
        </is>
      </c>
      <c r="Q58" s="15" t="inlineStr">
        <is>
          <t>Veille marché</t>
        </is>
      </c>
      <c r="R58" s="15" t="inlineStr">
        <is>
          <t>Oui – B/L et manifeste</t>
        </is>
      </c>
      <c r="S58" s="15" t="inlineStr">
        <is>
          <t>TEMA-MAI26-A22</t>
        </is>
      </c>
      <c r="T58" s="15" t="inlineStr">
        <is>
          <t>Interne</t>
        </is>
      </c>
      <c r="U58" s="10" t="n">
        <v>46197</v>
      </c>
      <c r="V58" s="15" t="inlineStr">
        <is>
          <t>PF Ghana</t>
        </is>
      </c>
      <c r="W58" s="15" t="inlineStr">
        <is>
          <t>Importation majeure destinée au marché légal ghanéen. Origine Lagos (Nigeria). Dix conteneurs identifiés sur le manifeste maritime.</t>
        </is>
      </c>
    </row>
    <row r="59" ht="15.75" customHeight="1" s="23">
      <c r="A59" s="15" t="inlineStr">
        <is>
          <t>GEI-BEN-2026-017</t>
        </is>
      </c>
      <c r="B59" s="19" t="n">
        <v>46205</v>
      </c>
      <c r="C59" s="15" t="inlineStr">
        <is>
          <t>Point focal Douanes Bénin</t>
        </is>
      </c>
      <c r="D59" s="15" t="inlineStr">
        <is>
          <t>Bénin / Nigeria</t>
        </is>
      </c>
      <c r="E59" s="15" t="inlineStr">
        <is>
          <t>OKE-ITA</t>
        </is>
      </c>
      <c r="F59" s="15" t="inlineStr">
        <is>
          <t>Mouvement transfrontalier de tabac</t>
        </is>
      </c>
      <c r="G59" s="10" t="inlineStr">
        <is>
          <t>Déclaration d'exportation de tabac au poste d'OKE-ITA (2 colis – 50 kg) mettant en évidence un flux transfrontalier vers le Nigeria.</t>
        </is>
      </c>
      <c r="H59" s="15" t="inlineStr">
        <is>
          <t>Déclaration douanière</t>
        </is>
      </c>
      <c r="I59" s="15" t="inlineStr">
        <is>
          <t>Oui</t>
        </is>
      </c>
      <c r="J59" s="15" t="inlineStr">
        <is>
          <t>A</t>
        </is>
      </c>
      <c r="K59" s="15" t="n">
        <v>1</v>
      </c>
      <c r="L59" s="10" t="inlineStr">
        <is>
          <t>72 h</t>
        </is>
      </c>
      <c r="M59" s="15" t="inlineStr">
        <is>
          <t>Moyen</t>
        </is>
      </c>
      <c r="N59" s="15" t="inlineStr">
        <is>
          <t>Exploitable</t>
        </is>
      </c>
      <c r="O59" s="15" t="inlineStr">
        <is>
          <t>Ouvert</t>
        </is>
      </c>
      <c r="P59" s="15" t="inlineStr">
        <is>
          <t>Oui</t>
        </is>
      </c>
      <c r="Q59" s="10" t="inlineStr">
        <is>
          <t>Vérification de la destination effective</t>
        </is>
      </c>
      <c r="R59" s="15" t="inlineStr">
        <is>
          <t>Oui</t>
        </is>
      </c>
      <c r="S59" s="15" t="inlineStr">
        <is>
          <t>BJA03-G-98</t>
        </is>
      </c>
      <c r="T59" s="15" t="inlineStr">
        <is>
          <t>Restreinte</t>
        </is>
      </c>
      <c r="U59" s="19" t="n">
        <v>46205</v>
      </c>
      <c r="V59" s="10" t="inlineStr">
        <is>
          <t>PF Bénin</t>
        </is>
      </c>
      <c r="W59" s="15" t="inlineStr">
        <is>
          <t>Flux transfrontalier documenté au départ de Pobè.</t>
        </is>
      </c>
      <c r="X59" s="7" t="n"/>
      <c r="Y59" s="7" t="n"/>
      <c r="Z59" s="7" t="n"/>
    </row>
    <row r="60" ht="15.75" customHeight="1" s="23">
      <c r="A60" s="15" t="inlineStr">
        <is>
          <t>GEI-BEN-2026-018</t>
        </is>
      </c>
      <c r="B60" s="19" t="n">
        <v>46190</v>
      </c>
      <c r="C60" s="15" t="inlineStr">
        <is>
          <t>Point focal Douanes Bénin</t>
        </is>
      </c>
      <c r="D60" s="15" t="inlineStr">
        <is>
          <t>Bénin</t>
        </is>
      </c>
      <c r="E60" s="15" t="inlineStr">
        <is>
          <t>Port de Cotonou</t>
        </is>
      </c>
      <c r="F60" s="15" t="inlineStr">
        <is>
          <t>Importation de tabac à chicha</t>
        </is>
      </c>
      <c r="G60" s="10" t="inlineStr">
        <is>
          <t>Importation de 630 cartons de tabac à chicha NAKHLA TWO APPLES en provenance d'Égypte par MBM SARL.</t>
        </is>
      </c>
      <c r="H60" s="15" t="inlineStr">
        <is>
          <t>Déclaration douanière</t>
        </is>
      </c>
      <c r="I60" s="15" t="inlineStr">
        <is>
          <t>Oui</t>
        </is>
      </c>
      <c r="J60" s="15" t="inlineStr">
        <is>
          <t>A</t>
        </is>
      </c>
      <c r="K60" s="15" t="n">
        <v>1</v>
      </c>
      <c r="L60" s="10" t="inlineStr">
        <is>
          <t>Routine</t>
        </is>
      </c>
      <c r="M60" s="15" t="inlineStr">
        <is>
          <t>Moyen</t>
        </is>
      </c>
      <c r="N60" s="15" t="inlineStr">
        <is>
          <t>Exploitable</t>
        </is>
      </c>
      <c r="O60" s="15" t="inlineStr">
        <is>
          <t>Clos</t>
        </is>
      </c>
      <c r="P60" s="15" t="inlineStr">
        <is>
          <t>Non</t>
        </is>
      </c>
      <c r="Q60" s="10" t="inlineStr">
        <is>
          <t>Veille marché</t>
        </is>
      </c>
      <c r="R60" s="15" t="inlineStr">
        <is>
          <t>Oui</t>
        </is>
      </c>
      <c r="S60" s="15" t="inlineStr">
        <is>
          <t>BJB01-C-20102</t>
        </is>
      </c>
      <c r="T60" s="15" t="inlineStr">
        <is>
          <t>Interne</t>
        </is>
      </c>
      <c r="U60" s="19" t="n">
        <v>46190</v>
      </c>
      <c r="V60" s="10" t="inlineStr">
        <is>
          <t>PF Bénin</t>
        </is>
      </c>
      <c r="W60" s="15" t="inlineStr">
        <is>
          <t>Importation légale documentée permettant d'alimenter la connaissance du marché des produits de chicha.</t>
        </is>
      </c>
      <c r="X60" s="7" t="n"/>
      <c r="Y60" s="7" t="n"/>
      <c r="Z60" s="7" t="n"/>
    </row>
    <row r="61" ht="15.75" customHeight="1" s="23">
      <c r="A61" s="15" t="inlineStr">
        <is>
          <t>GEI-BEN-2026-019</t>
        </is>
      </c>
      <c r="B61" s="19" t="n">
        <v>46185</v>
      </c>
      <c r="C61" s="15" t="inlineStr">
        <is>
          <t>Point focal Douanes Bénin</t>
        </is>
      </c>
      <c r="D61" s="15" t="inlineStr">
        <is>
          <t>Bénin / Togo</t>
        </is>
      </c>
      <c r="E61" s="15" t="inlineStr">
        <is>
          <t>Athiémey</t>
        </is>
      </c>
      <c r="F61" s="15" t="inlineStr">
        <is>
          <t>Mouvement transfrontalier de tabac</t>
        </is>
      </c>
      <c r="G61" s="10" t="inlineStr">
        <is>
          <t>Déclaration relative à 86 colis de tabac en provenance du Togo via le poste frontière d'Athiémey.</t>
        </is>
      </c>
      <c r="H61" s="15" t="inlineStr">
        <is>
          <t>Déclaration douanière</t>
        </is>
      </c>
      <c r="I61" s="15" t="inlineStr">
        <is>
          <t>Oui</t>
        </is>
      </c>
      <c r="J61" s="15" t="inlineStr">
        <is>
          <t>A</t>
        </is>
      </c>
      <c r="K61" s="15" t="n">
        <v>1</v>
      </c>
      <c r="L61" s="10" t="inlineStr">
        <is>
          <t>72 h</t>
        </is>
      </c>
      <c r="M61" s="15" t="inlineStr">
        <is>
          <t>Moyen</t>
        </is>
      </c>
      <c r="N61" s="15" t="inlineStr">
        <is>
          <t>Exploitable</t>
        </is>
      </c>
      <c r="O61" s="15" t="inlineStr">
        <is>
          <t>Ouvert</t>
        </is>
      </c>
      <c r="P61" s="15" t="inlineStr">
        <is>
          <t>Oui</t>
        </is>
      </c>
      <c r="Q61" s="10" t="inlineStr">
        <is>
          <t>Analyse du flux frontalier</t>
        </is>
      </c>
      <c r="R61" s="15" t="inlineStr">
        <is>
          <t>Oui</t>
        </is>
      </c>
      <c r="S61" s="15" t="inlineStr">
        <is>
          <t>BJC03-C-2421</t>
        </is>
      </c>
      <c r="T61" s="15" t="inlineStr">
        <is>
          <t>Restreinte</t>
        </is>
      </c>
      <c r="U61" s="19" t="n">
        <v>46185</v>
      </c>
      <c r="V61" s="10" t="inlineStr">
        <is>
          <t>PF Bénin</t>
        </is>
      </c>
      <c r="W61" s="15" t="inlineStr">
        <is>
          <t>Flux documenté sur le corridor Togo–Bénin pouvant contribuer à la cartographie des échanges transfrontaliers.</t>
        </is>
      </c>
      <c r="X61" s="7" t="n"/>
      <c r="Y61" s="7" t="n"/>
      <c r="Z61" s="7" t="n"/>
    </row>
    <row r="62" ht="15.75" customHeight="1" s="23">
      <c r="A62" s="15" t="inlineStr">
        <is>
          <t>GEI-BEN-2026-013</t>
        </is>
      </c>
      <c r="B62" s="19" t="n">
        <v>45961</v>
      </c>
      <c r="C62" s="15" t="inlineStr">
        <is>
          <t>Point focal Douanes Bénin</t>
        </is>
      </c>
      <c r="D62" s="15" t="inlineStr">
        <is>
          <t>Bénin</t>
        </is>
      </c>
      <c r="E62" s="15" t="inlineStr">
        <is>
          <t>Port de Cotonou</t>
        </is>
      </c>
      <c r="F62" s="15" t="inlineStr">
        <is>
          <t>Veille marché / Duty-free</t>
        </is>
      </c>
      <c r="G62" s="10" t="inlineStr">
        <is>
          <t>Importation maritime de 278 colis de produits du tabac destinés au réseau duty-free au Bénin.</t>
        </is>
      </c>
      <c r="H62" s="15" t="inlineStr">
        <is>
          <t>Déclaration douanière</t>
        </is>
      </c>
      <c r="I62" s="15" t="inlineStr">
        <is>
          <t>Oui</t>
        </is>
      </c>
      <c r="J62" s="15" t="inlineStr">
        <is>
          <t>A</t>
        </is>
      </c>
      <c r="K62" s="15" t="n">
        <v>1</v>
      </c>
      <c r="L62" s="10" t="inlineStr">
        <is>
          <t>Routine</t>
        </is>
      </c>
      <c r="M62" s="15" t="inlineStr">
        <is>
          <t>Faible</t>
        </is>
      </c>
      <c r="N62" s="15" t="inlineStr">
        <is>
          <t>Archivage</t>
        </is>
      </c>
      <c r="O62" s="15" t="inlineStr">
        <is>
          <t>Clos</t>
        </is>
      </c>
      <c r="P62" s="15" t="inlineStr">
        <is>
          <t>Non</t>
        </is>
      </c>
      <c r="Q62" s="10" t="inlineStr">
        <is>
          <t>Conservation pour le suivi statistique des importations légales</t>
        </is>
      </c>
      <c r="R62" s="15" t="inlineStr">
        <is>
          <t>Oui – déclaration douanière</t>
        </is>
      </c>
      <c r="S62" s="15" t="inlineStr">
        <is>
          <t>AL-2025-BJB01-S18275</t>
        </is>
      </c>
      <c r="T62" s="15" t="inlineStr">
        <is>
          <t>Interne</t>
        </is>
      </c>
      <c r="U62" s="19" t="n">
        <v>46217</v>
      </c>
      <c r="V62" s="10" t="inlineStr">
        <is>
          <t>PF Bénin</t>
        </is>
      </c>
      <c r="W62" s="15" t="inlineStr">
        <is>
          <t>Importation légale, opérateurs identifiés et taxes acquittées. Aucune anomalie détectée ; l’entrée est conservée pour assurer l’exhaustivité du KPI des informations collectées.</t>
        </is>
      </c>
      <c r="X62" s="7" t="n"/>
      <c r="Y62" s="7" t="n"/>
      <c r="Z62" s="7" t="n"/>
    </row>
    <row r="63" ht="15.75" customHeight="1" s="23">
      <c r="A63" s="15" t="inlineStr">
        <is>
          <t>GEI-BEN-2026-014</t>
        </is>
      </c>
      <c r="B63" s="19" t="n">
        <v>46028</v>
      </c>
      <c r="C63" s="15" t="inlineStr">
        <is>
          <t>Point focal Douanes Bénin</t>
        </is>
      </c>
      <c r="D63" s="15" t="inlineStr">
        <is>
          <t>Bénin</t>
        </is>
      </c>
      <c r="E63" s="15" t="inlineStr">
        <is>
          <t>Aéroport de Cotonou</t>
        </is>
      </c>
      <c r="F63" s="15" t="inlineStr">
        <is>
          <t>Veille marché / Duty-free</t>
        </is>
      </c>
      <c r="G63" s="10" t="inlineStr">
        <is>
          <t>Importation aérienne de trois colis de cigares et cigarillos DAVIDOFF destinés au réseau duty-free.</t>
        </is>
      </c>
      <c r="H63" s="15" t="inlineStr">
        <is>
          <t>Déclaration douanière</t>
        </is>
      </c>
      <c r="I63" s="15" t="inlineStr">
        <is>
          <t>Oui</t>
        </is>
      </c>
      <c r="J63" s="15" t="inlineStr">
        <is>
          <t>A</t>
        </is>
      </c>
      <c r="K63" s="15" t="n">
        <v>1</v>
      </c>
      <c r="L63" s="10" t="inlineStr">
        <is>
          <t>Routine</t>
        </is>
      </c>
      <c r="M63" s="15" t="inlineStr">
        <is>
          <t>Faible</t>
        </is>
      </c>
      <c r="N63" s="15" t="inlineStr">
        <is>
          <t>Archivage</t>
        </is>
      </c>
      <c r="O63" s="15" t="inlineStr">
        <is>
          <t>Clos</t>
        </is>
      </c>
      <c r="P63" s="15" t="inlineStr">
        <is>
          <t>Non</t>
        </is>
      </c>
      <c r="Q63" s="10" t="inlineStr">
        <is>
          <t>Conservation pour le suivi statistique</t>
        </is>
      </c>
      <c r="R63" s="15" t="inlineStr">
        <is>
          <t>Oui – déclaration et autorisations</t>
        </is>
      </c>
      <c r="S63" s="15" t="inlineStr">
        <is>
          <t>AL-2026-BJB02-S6</t>
        </is>
      </c>
      <c r="T63" s="15" t="inlineStr">
        <is>
          <t>Interne</t>
        </is>
      </c>
      <c r="U63" s="19" t="n">
        <v>46217</v>
      </c>
      <c r="V63" s="10" t="inlineStr">
        <is>
          <t>PF Bénin</t>
        </is>
      </c>
      <c r="W63" s="15" t="inlineStr">
        <is>
          <t>Opération légale accompagnée des autorisations de la Douane. Aucune anomalie détectée.</t>
        </is>
      </c>
      <c r="X63" s="7" t="n"/>
      <c r="Y63" s="7" t="n"/>
      <c r="Z63" s="7" t="n"/>
    </row>
    <row r="64" ht="15.75" customHeight="1" s="23">
      <c r="A64" s="15" t="inlineStr">
        <is>
          <t>GEI-BEN-2026-015</t>
        </is>
      </c>
      <c r="B64" s="19" t="n">
        <v>46086</v>
      </c>
      <c r="C64" s="15" t="inlineStr">
        <is>
          <t>Point focal Douanes Bénin</t>
        </is>
      </c>
      <c r="D64" s="15" t="inlineStr">
        <is>
          <t>Bénin / Sénégal</t>
        </is>
      </c>
      <c r="E64" s="15" t="inlineStr">
        <is>
          <t>Aéroport de Cotonou – Dakar-Diass</t>
        </is>
      </c>
      <c r="F64" s="15" t="inlineStr">
        <is>
          <t>Réexportation de cigares</t>
        </is>
      </c>
      <c r="G64" s="10" t="inlineStr">
        <is>
          <t>Réexportation aérienne d’un carton de cigares entre les entités duty-free du Bénin et du Sénégal.</t>
        </is>
      </c>
      <c r="H64" s="15" t="inlineStr">
        <is>
          <t>Déclaration douanière</t>
        </is>
      </c>
      <c r="I64" s="15" t="inlineStr">
        <is>
          <t>Oui</t>
        </is>
      </c>
      <c r="J64" s="15" t="inlineStr">
        <is>
          <t>A</t>
        </is>
      </c>
      <c r="K64" s="15" t="n">
        <v>1</v>
      </c>
      <c r="L64" s="10" t="inlineStr">
        <is>
          <t>Routine</t>
        </is>
      </c>
      <c r="M64" s="15" t="inlineStr">
        <is>
          <t>Faible</t>
        </is>
      </c>
      <c r="N64" s="15" t="inlineStr">
        <is>
          <t>Archivage</t>
        </is>
      </c>
      <c r="O64" s="15" t="inlineStr">
        <is>
          <t>Clos</t>
        </is>
      </c>
      <c r="P64" s="15" t="inlineStr">
        <is>
          <t>Non</t>
        </is>
      </c>
      <c r="Q64" s="10" t="inlineStr">
        <is>
          <t>Conservation pour la traçabilité des réexportations</t>
        </is>
      </c>
      <c r="R64" s="15" t="inlineStr">
        <is>
          <t>Oui – déclaration douanière</t>
        </is>
      </c>
      <c r="S64" s="15" t="inlineStr">
        <is>
          <t>AL-2026-BJB02-R32</t>
        </is>
      </c>
      <c r="T64" s="15" t="inlineStr">
        <is>
          <t>Interne</t>
        </is>
      </c>
      <c r="U64" s="19" t="n">
        <v>46217</v>
      </c>
      <c r="V64" s="10" t="inlineStr">
        <is>
          <t>PF Bénin</t>
        </is>
      </c>
      <c r="W64" s="15" t="inlineStr">
        <is>
          <t>Réexportation légale et apurement du régime d’importation antérieur documenté.</t>
        </is>
      </c>
      <c r="X64" s="7" t="n"/>
      <c r="Y64" s="7" t="n"/>
      <c r="Z64" s="7" t="n"/>
    </row>
    <row r="65" ht="15.75" customHeight="1" s="23">
      <c r="A65" s="15" t="inlineStr">
        <is>
          <t>GEI-BEN-2026-016</t>
        </is>
      </c>
      <c r="B65" s="19" t="n">
        <v>46159</v>
      </c>
      <c r="C65" s="15" t="inlineStr">
        <is>
          <t>Point focal Douanes Bénin</t>
        </is>
      </c>
      <c r="D65" s="15" t="inlineStr">
        <is>
          <t>Bénin / Nigeria</t>
        </is>
      </c>
      <c r="E65" s="15" t="inlineStr">
        <is>
          <t>Port de Cotonou – Kano Free Trade Zone</t>
        </is>
      </c>
      <c r="F65" s="15" t="inlineStr">
        <is>
          <t>Transit cigarettes sans déclaration rapprochée</t>
        </is>
      </c>
      <c r="G65" s="10" t="inlineStr">
        <is>
          <t>Mouvement du conteneur MSNU9501507 transportant 1 600 cartons d’ESSE EDGE 5mg à destination de BLACKHORSE TOBACCO FZE, sans déclaration en douane identifiée dans le corpus disponible.</t>
        </is>
      </c>
      <c r="H65" s="15" t="inlineStr">
        <is>
          <t>Manifeste transporteur</t>
        </is>
      </c>
      <c r="I65" s="15" t="inlineStr">
        <is>
          <t>Oui</t>
        </is>
      </c>
      <c r="J65" s="15" t="inlineStr">
        <is>
          <t>B</t>
        </is>
      </c>
      <c r="K65" s="15" t="n">
        <v>1</v>
      </c>
      <c r="L65" s="10" t="inlineStr">
        <is>
          <t>72h</t>
        </is>
      </c>
      <c r="M65" s="15" t="inlineStr">
        <is>
          <t>Élevé</t>
        </is>
      </c>
      <c r="N65" s="15" t="inlineStr">
        <is>
          <t>Actionnable</t>
        </is>
      </c>
      <c r="O65" s="15" t="inlineStr">
        <is>
          <t>À investiguer</t>
        </is>
      </c>
      <c r="P65" s="15" t="inlineStr">
        <is>
          <t>Oui</t>
        </is>
      </c>
      <c r="Q65" s="10" t="inlineStr">
        <is>
          <t>Rechercher la déclaration douanière et vérifier l’apurement du transit</t>
        </is>
      </c>
      <c r="R65" s="15" t="inlineStr">
        <is>
          <t>Oui – manifeste et B/L</t>
        </is>
      </c>
      <c r="S65" s="15" t="inlineStr">
        <is>
          <t>AL-2026-BJB01-ND04 / BL MEDUKC455301</t>
        </is>
      </c>
      <c r="T65" s="15" t="inlineStr">
        <is>
          <t>Restreinte</t>
        </is>
      </c>
      <c r="U65" s="19" t="n">
        <v>46217</v>
      </c>
      <c r="V65" s="10" t="inlineStr">
        <is>
          <t>PF Bénin</t>
        </is>
      </c>
      <c r="W65" s="15" t="inlineStr">
        <is>
          <t>Deuxième conteneur distinct arrivé le même jour pour le même destinataire. La marque ESSE EDGE 5mg apparaît également dans un précédent dossier de transit vers le Nigeria.</t>
        </is>
      </c>
      <c r="X65" s="7" t="n"/>
      <c r="Y65" s="7" t="n"/>
      <c r="Z65" s="7" t="n"/>
    </row>
    <row r="66" ht="15.75" customHeight="1" s="23">
      <c r="A66" s="15" t="inlineStr">
        <is>
          <t>GEI-BEN-2026-017</t>
        </is>
      </c>
      <c r="B66" s="19" t="n">
        <v>46190</v>
      </c>
      <c r="C66" s="15" t="inlineStr">
        <is>
          <t>Point focal Douanes Bénin</t>
        </is>
      </c>
      <c r="D66" s="15" t="inlineStr">
        <is>
          <t>Bénin</t>
        </is>
      </c>
      <c r="E66" s="15" t="inlineStr">
        <is>
          <t>Port de Cotonou</t>
        </is>
      </c>
      <c r="F66" s="15" t="inlineStr">
        <is>
          <t>Importation de tabac à chicha</t>
        </is>
      </c>
      <c r="G66" s="10" t="inlineStr">
        <is>
          <t>Importation de 630 cartons de tabac à chicha NAKHLA TWO APPLES en provenance d’Égypte par M.B.M SARL.</t>
        </is>
      </c>
      <c r="H66" s="15" t="inlineStr">
        <is>
          <t>Déclaration douanière</t>
        </is>
      </c>
      <c r="I66" s="15" t="inlineStr">
        <is>
          <t>Oui</t>
        </is>
      </c>
      <c r="J66" s="15" t="inlineStr">
        <is>
          <t>A</t>
        </is>
      </c>
      <c r="K66" s="15" t="n">
        <v>1</v>
      </c>
      <c r="L66" s="10" t="inlineStr">
        <is>
          <t>Routine</t>
        </is>
      </c>
      <c r="M66" s="15" t="inlineStr">
        <is>
          <t>Faible</t>
        </is>
      </c>
      <c r="N66" s="15" t="inlineStr">
        <is>
          <t>Archivage</t>
        </is>
      </c>
      <c r="O66" s="15" t="inlineStr">
        <is>
          <t>Clos</t>
        </is>
      </c>
      <c r="P66" s="15" t="inlineStr">
        <is>
          <t>Non</t>
        </is>
      </c>
      <c r="Q66" s="10" t="inlineStr">
        <is>
          <t>Veille sur le marché des produits de chicha</t>
        </is>
      </c>
      <c r="R66" s="15" t="inlineStr">
        <is>
          <t>Oui – déclaration et référence conteneur</t>
        </is>
      </c>
      <c r="S66" s="15" t="inlineStr">
        <is>
          <t>AL-2026-BJB01-C20102</t>
        </is>
      </c>
      <c r="T66" s="15" t="inlineStr">
        <is>
          <t>Interne</t>
        </is>
      </c>
      <c r="U66" s="19" t="n">
        <v>46217</v>
      </c>
      <c r="V66" s="10" t="inlineStr">
        <is>
          <t>PF Bénin</t>
        </is>
      </c>
      <c r="W66" s="15" t="inlineStr">
        <is>
          <t>La déclaration officielle confirme une valeur facturée de 12 540 USD et le conteneur MRKU8921330. L’anomalie initiale provenait de l’extraction Excel et non de la déclaration douanière.</t>
        </is>
      </c>
      <c r="X66" s="7" t="n"/>
      <c r="Y66" s="7" t="n"/>
      <c r="Z66" s="7" t="n"/>
    </row>
    <row r="67" ht="15.75" customHeight="1" s="23">
      <c r="A67" s="15" t="inlineStr">
        <is>
          <t>GEI-BEN-2026-018</t>
        </is>
      </c>
      <c r="B67" s="19" t="n">
        <v>46205</v>
      </c>
      <c r="C67" s="15" t="inlineStr">
        <is>
          <t>Point focal Douanes Bénin</t>
        </is>
      </c>
      <c r="D67" s="15" t="inlineStr">
        <is>
          <t>Bénin</t>
        </is>
      </c>
      <c r="E67" s="15" t="inlineStr">
        <is>
          <t>Oké-Ita – Pobè – Ayéré-Agbarou</t>
        </is>
      </c>
      <c r="F67" s="15" t="inlineStr">
        <is>
          <t>Mouvement intérieur de tabac</t>
        </is>
      </c>
      <c r="G67" s="10" t="inlineStr">
        <is>
          <t>Déclaration VD4 portant sur deux colis de tabac, soit 50 kg, déposée trois minutes avant une seconde déclaration liée au même manifeste et au même destinataire.</t>
        </is>
      </c>
      <c r="H67" s="15" t="inlineStr">
        <is>
          <t>Déclaration douanière</t>
        </is>
      </c>
      <c r="I67" s="15" t="inlineStr">
        <is>
          <t>Oui</t>
        </is>
      </c>
      <c r="J67" s="15" t="inlineStr">
        <is>
          <t>A</t>
        </is>
      </c>
      <c r="K67" s="15" t="n">
        <v>2</v>
      </c>
      <c r="L67" s="10" t="inlineStr">
        <is>
          <t>72h</t>
        </is>
      </c>
      <c r="M67" s="15" t="inlineStr">
        <is>
          <t>Moyen</t>
        </is>
      </c>
      <c r="N67" s="15" t="inlineStr">
        <is>
          <t>À compléter</t>
        </is>
      </c>
      <c r="O67" s="15" t="inlineStr">
        <is>
          <t>En cours d’analyse</t>
        </is>
      </c>
      <c r="P67" s="15" t="inlineStr">
        <is>
          <t>Oui</t>
        </is>
      </c>
      <c r="Q67" s="10" t="inlineStr">
        <is>
          <t>Rapprocher les déclarations G-98 et G-99</t>
        </is>
      </c>
      <c r="R67" s="15" t="inlineStr">
        <is>
          <t>Oui – déclaration douanière</t>
        </is>
      </c>
      <c r="S67" s="15" t="n"/>
      <c r="T67" s="15" t="inlineStr">
        <is>
          <t>Restreinte</t>
        </is>
      </c>
      <c r="U67" s="19" t="n">
        <v>46217</v>
      </c>
      <c r="V67" s="10" t="inlineStr">
        <is>
          <t>PF Bénin</t>
        </is>
      </c>
      <c r="W67" s="15" t="inlineStr">
        <is>
          <t>Même manifeste et même destinataire que G-99. Le fractionnement temporel et documentaire peut correspondre à un schéma de « saucissonnage » des déclarations.</t>
        </is>
      </c>
      <c r="X67" s="7" t="n"/>
      <c r="Y67" s="7" t="n"/>
      <c r="Z67" s="7" t="n"/>
    </row>
    <row r="68" ht="15.75" customHeight="1" s="23">
      <c r="A68" s="15" t="inlineStr">
        <is>
          <t>GEI-BEN-2026-019</t>
        </is>
      </c>
      <c r="B68" s="19" t="n">
        <v>46205</v>
      </c>
      <c r="C68" s="15" t="inlineStr">
        <is>
          <t>Point focal Douanes Bénin</t>
        </is>
      </c>
      <c r="D68" s="15" t="inlineStr">
        <is>
          <t>Bénin</t>
        </is>
      </c>
      <c r="E68" s="15" t="inlineStr">
        <is>
          <t>Oké-Ita – Pobè – Ayéré-Agbarou</t>
        </is>
      </c>
      <c r="F68" s="15" t="inlineStr">
        <is>
          <t>Incohérence de déclaration douanière</t>
        </is>
      </c>
      <c r="G68" s="10" t="inlineStr">
        <is>
          <t>Déclaration VD4 de huit colis désignés « tonneaux en plastique », alors que le code SH 2401.20.00.00 correspond au tabac.</t>
        </is>
      </c>
      <c r="H68" s="15" t="inlineStr">
        <is>
          <t>Déclaration douanière</t>
        </is>
      </c>
      <c r="I68" s="15" t="inlineStr">
        <is>
          <t>Oui</t>
        </is>
      </c>
      <c r="J68" s="15" t="inlineStr">
        <is>
          <t>A</t>
        </is>
      </c>
      <c r="K68" s="15" t="n">
        <v>1</v>
      </c>
      <c r="L68" s="10" t="inlineStr">
        <is>
          <t>Immédiat</t>
        </is>
      </c>
      <c r="M68" s="15" t="inlineStr">
        <is>
          <t>Élevé</t>
        </is>
      </c>
      <c r="N68" s="15" t="inlineStr">
        <is>
          <t>Actionnable</t>
        </is>
      </c>
      <c r="O68" s="15" t="inlineStr">
        <is>
          <t>Ouvert – prioritaire</t>
        </is>
      </c>
      <c r="P68" s="15" t="inlineStr">
        <is>
          <t>Oui</t>
        </is>
      </c>
      <c r="Q68" s="10" t="inlineStr">
        <is>
          <t>Vérifier la nature physique des marchandises, la valeur déclarée et le lien avec G-98</t>
        </is>
      </c>
      <c r="R68" s="15" t="inlineStr">
        <is>
          <t>Oui – déclaration douanière</t>
        </is>
      </c>
      <c r="S68" s="15" t="inlineStr">
        <is>
          <t>AL-2026-BJA03-G99</t>
        </is>
      </c>
      <c r="T68" s="15" t="inlineStr">
        <is>
          <t>Confidentielle</t>
        </is>
      </c>
      <c r="U68" s="19" t="n">
        <v>46217</v>
      </c>
      <c r="V68" s="10" t="inlineStr">
        <is>
          <t>PF Bénin</t>
        </is>
      </c>
      <c r="W68" s="15" t="inlineStr">
        <is>
          <t>Incohérence directe entre la désignation et le code tarifaire. La valeur de 28 744 FCFA est identique à celle de G-98 malgré un colisage et un poids différents.</t>
        </is>
      </c>
      <c r="X68" s="7" t="n"/>
      <c r="Y68" s="7" t="n"/>
      <c r="Z68" s="7" t="n"/>
    </row>
    <row r="69" ht="15.75" customHeight="1" s="23">
      <c r="A69" s="15" t="inlineStr">
        <is>
          <t>GEI-CIV-2026-005</t>
        </is>
      </c>
      <c r="B69" s="10" t="n">
        <v>46218</v>
      </c>
      <c r="C69" s="15" t="inlineStr">
        <is>
          <t>Point focal Ghana</t>
        </is>
      </c>
      <c r="D69" s="15" t="inlineStr">
        <is>
          <t>Côte d'Ivoire</t>
        </is>
      </c>
      <c r="E69" s="15" t="inlineStr">
        <is>
          <t>Tema – Abidjan</t>
        </is>
      </c>
      <c r="F69" s="15" t="inlineStr">
        <is>
          <t>Suivi opérationnel</t>
        </is>
      </c>
      <c r="G69" s="15" t="inlineStr">
        <is>
          <t>Les manifestes maritimes du 1er au 20 juillet 2026 confirment la poursuite des expéditions de produits BOHEM à destination de LMC-I SARL en Côte d'Ivoire.</t>
        </is>
      </c>
      <c r="H69" s="15" t="inlineStr">
        <is>
          <t>Manifeste maritime</t>
        </is>
      </c>
      <c r="I69" s="15" t="inlineStr">
        <is>
          <t>Oui</t>
        </is>
      </c>
      <c r="J69" s="15" t="inlineStr">
        <is>
          <t>A</t>
        </is>
      </c>
      <c r="K69" s="15" t="n">
        <v>1</v>
      </c>
      <c r="L69" s="15" t="inlineStr">
        <is>
          <t>72 h</t>
        </is>
      </c>
      <c r="M69" s="15" t="inlineStr">
        <is>
          <t>Élevé</t>
        </is>
      </c>
      <c r="N69" s="15" t="inlineStr">
        <is>
          <t>Actionnable</t>
        </is>
      </c>
      <c r="O69" s="15" t="inlineStr">
        <is>
          <t>Ouvert</t>
        </is>
      </c>
      <c r="P69" s="15" t="inlineStr">
        <is>
          <t>Oui</t>
        </is>
      </c>
      <c r="Q69" s="15" t="inlineStr">
        <is>
          <t>Vérifier la mise à la consommation en Côte d'Ivoire et rapprocher les informations avec les résultats des Empty Pack Surveys de mai, juin et juillet 2026.</t>
        </is>
      </c>
      <c r="R69" s="15" t="inlineStr">
        <is>
          <t>Oui – Manifestes maritimes</t>
        </is>
      </c>
      <c r="S69" s="15" t="inlineStr">
        <is>
          <t>MANIFEST 1ST TO 20TH JULY 2026</t>
        </is>
      </c>
      <c r="T69" s="15" t="inlineStr">
        <is>
          <t>Restreinte</t>
        </is>
      </c>
      <c r="U69" s="10" t="n">
        <v>46223</v>
      </c>
      <c r="V69" s="15" t="inlineStr">
        <is>
          <t>Point focal Ghana / Point focal Côte d'Ivoire</t>
        </is>
      </c>
      <c r="W69" s="15" t="inlineStr">
        <is>
          <t>Cette alerte constitue une évolution du dossier BOHEM et confirme la continuité des flux vers la Côte d'Ivoire malgré les contrôles engagés. Elle sera analysée conjointement avec les résultats des EPS afin d'évaluer si ces cargaisons ont effectivement alimenté le marché ivoirien.</t>
        </is>
      </c>
    </row>
    <row r="70" ht="15.75" customHeight="1" s="23">
      <c r="A70" s="15" t="inlineStr">
        <is>
          <t>GEI-BEN-2026-023</t>
        </is>
      </c>
      <c r="B70" s="19" t="n">
        <v>46231</v>
      </c>
      <c r="C70" s="15" t="inlineStr">
        <is>
          <t>Point focal Douanes Bénin</t>
        </is>
      </c>
      <c r="D70" s="15" t="inlineStr">
        <is>
          <t>Bénin</t>
        </is>
      </c>
      <c r="E70" s="15" t="inlineStr">
        <is>
          <t>Pointe-Noire (Congo) – Cotonou (Bénin)</t>
        </is>
      </c>
      <c r="F70" s="12" t="inlineStr">
        <is>
          <t>Tabac brut</t>
        </is>
      </c>
      <c r="G70" s="14" t="inlineStr">
        <is>
          <t>Arrivée de 10 conteneurs de tabac brut (origine Chine). Incohérence entre le manifeste (« cigarettes ») et la marchandise déclarée (tabac brut).</t>
        </is>
      </c>
      <c r="H70" s="14" t="inlineStr">
        <is>
          <t>Déclaration douanière</t>
        </is>
      </c>
      <c r="I70" s="15" t="inlineStr">
        <is>
          <t>Oui</t>
        </is>
      </c>
      <c r="J70" s="15" t="inlineStr">
        <is>
          <t>A</t>
        </is>
      </c>
      <c r="K70" s="15" t="n">
        <v>1</v>
      </c>
      <c r="L70" s="15" t="inlineStr">
        <is>
          <t>Immédiat</t>
        </is>
      </c>
      <c r="M70" s="15" t="inlineStr">
        <is>
          <t>Élevé</t>
        </is>
      </c>
      <c r="N70" s="15" t="inlineStr">
        <is>
          <t>Actionnable</t>
        </is>
      </c>
      <c r="O70" s="15" t="inlineStr">
        <is>
          <t>En cours</t>
        </is>
      </c>
      <c r="P70" s="15" t="inlineStr">
        <is>
          <t>À valider</t>
        </is>
      </c>
      <c r="Q70" s="16" t="inlineStr">
        <is>
          <t>Suivi de la cargaison.</t>
        </is>
      </c>
      <c r="R70" s="14" t="inlineStr">
        <is>
          <t>Oui – déclaration douanière</t>
        </is>
      </c>
      <c r="S70" s="15" t="inlineStr">
        <is>
          <t>MSNU8459629</t>
        </is>
      </c>
      <c r="T70" s="15" t="inlineStr">
        <is>
          <t>Restreinte</t>
        </is>
      </c>
      <c r="U70" s="17" t="n">
        <v>46233</v>
      </c>
      <c r="V70" s="15" t="inlineStr">
        <is>
          <t>PF Bénin</t>
        </is>
      </c>
      <c r="W70" s="12" t="inlineStr">
        <is>
          <t>Incohérence entre le manifeste (« cigarettes ») et la déclaration de marchandises (tabac brut HS 2401.20). Vérification recommandée.</t>
        </is>
      </c>
      <c r="X70" s="7" t="n"/>
      <c r="Y70" s="7" t="n"/>
      <c r="Z70" s="7" t="n"/>
    </row>
    <row r="71" ht="15.75" customHeight="1" s="23">
      <c r="A71" s="15" t="inlineStr">
        <is>
          <t>GEI-BEN-2026-024</t>
        </is>
      </c>
      <c r="B71" s="19" t="n">
        <v>46231</v>
      </c>
      <c r="C71" s="15" t="inlineStr">
        <is>
          <t>Point focal Douanes Bénin</t>
        </is>
      </c>
      <c r="D71" s="15" t="inlineStr">
        <is>
          <t>Bénin</t>
        </is>
      </c>
      <c r="E71" s="15" t="inlineStr">
        <is>
          <t>Pointe-Noire (Congo) – Cotonou (Bénin)</t>
        </is>
      </c>
      <c r="F71" s="12" t="inlineStr">
        <is>
          <t>Tabac brut</t>
        </is>
      </c>
      <c r="G71" s="14" t="inlineStr">
        <is>
          <t>Arrivée de 10 conteneurs de tabac brut (origine Chine). Incohérence entre le manifeste (« cigarettes ») et la marchandise déclarée (tabac brut).</t>
        </is>
      </c>
      <c r="H71" s="14" t="inlineStr">
        <is>
          <t>Déclaration douanière</t>
        </is>
      </c>
      <c r="I71" s="15" t="inlineStr">
        <is>
          <t>Oui</t>
        </is>
      </c>
      <c r="J71" s="15" t="inlineStr">
        <is>
          <t>A</t>
        </is>
      </c>
      <c r="K71" s="15" t="n">
        <v>1</v>
      </c>
      <c r="L71" s="15" t="inlineStr">
        <is>
          <t>Immédiat</t>
        </is>
      </c>
      <c r="M71" s="15" t="inlineStr">
        <is>
          <t>Élevé</t>
        </is>
      </c>
      <c r="N71" s="15" t="inlineStr">
        <is>
          <t>Actionnable</t>
        </is>
      </c>
      <c r="O71" s="15" t="inlineStr">
        <is>
          <t>En cours</t>
        </is>
      </c>
      <c r="P71" s="15" t="inlineStr">
        <is>
          <t>À valider</t>
        </is>
      </c>
      <c r="Q71" s="16" t="inlineStr">
        <is>
          <t>Suivi de la cargaison.</t>
        </is>
      </c>
      <c r="R71" s="14" t="inlineStr">
        <is>
          <t>Oui – déclaration douanière</t>
        </is>
      </c>
      <c r="S71" s="15" t="inlineStr">
        <is>
          <t>TRHU7914007</t>
        </is>
      </c>
      <c r="T71" s="15" t="inlineStr">
        <is>
          <t>Restreinte</t>
        </is>
      </c>
      <c r="U71" s="17" t="n">
        <v>46233</v>
      </c>
      <c r="V71" s="15" t="inlineStr">
        <is>
          <t>PF Bénin</t>
        </is>
      </c>
      <c r="W71" s="12" t="inlineStr">
        <is>
          <t>Incohérence entre le manifeste (« cigarettes ») et la déclaration de marchandises (tabac brut HS 2401.20). Vérification recommandée.</t>
        </is>
      </c>
      <c r="X71" s="7" t="n"/>
      <c r="Y71" s="7" t="n"/>
      <c r="Z71" s="7" t="n"/>
    </row>
    <row r="72" ht="15.75" customHeight="1" s="23">
      <c r="A72" s="15" t="inlineStr">
        <is>
          <t>GEI-BEN-2026-025</t>
        </is>
      </c>
      <c r="B72" s="19" t="n">
        <v>46231</v>
      </c>
      <c r="C72" s="15" t="inlineStr">
        <is>
          <t>Point focal Douanes Bénin</t>
        </is>
      </c>
      <c r="D72" s="15" t="inlineStr">
        <is>
          <t>Bénin</t>
        </is>
      </c>
      <c r="E72" s="15" t="inlineStr">
        <is>
          <t>Pointe-Noire (Congo) – Cotonou (Bénin)</t>
        </is>
      </c>
      <c r="F72" s="12" t="inlineStr">
        <is>
          <t>Tabac brut</t>
        </is>
      </c>
      <c r="G72" s="14" t="inlineStr">
        <is>
          <t>Arrivée de 10 conteneurs de tabac brut (origine Chine). Incohérence entre le manifeste (« cigarettes ») et la marchandise déclarée (tabac brut).</t>
        </is>
      </c>
      <c r="H72" s="14" t="inlineStr">
        <is>
          <t>Déclaration douanière</t>
        </is>
      </c>
      <c r="I72" s="15" t="inlineStr">
        <is>
          <t>Oui</t>
        </is>
      </c>
      <c r="J72" s="15" t="inlineStr">
        <is>
          <t>A</t>
        </is>
      </c>
      <c r="K72" s="15" t="n">
        <v>1</v>
      </c>
      <c r="L72" s="15" t="inlineStr">
        <is>
          <t>Immédiat</t>
        </is>
      </c>
      <c r="M72" s="15" t="inlineStr">
        <is>
          <t>Élevé</t>
        </is>
      </c>
      <c r="N72" s="15" t="inlineStr">
        <is>
          <t>Actionnable</t>
        </is>
      </c>
      <c r="O72" s="15" t="inlineStr">
        <is>
          <t>En cours</t>
        </is>
      </c>
      <c r="P72" s="15" t="inlineStr">
        <is>
          <t>À valider</t>
        </is>
      </c>
      <c r="Q72" s="16" t="inlineStr">
        <is>
          <t>Suivi de la cargaison.</t>
        </is>
      </c>
      <c r="R72" s="14" t="inlineStr">
        <is>
          <t>Oui – déclaration douanière</t>
        </is>
      </c>
      <c r="S72" s="15" t="inlineStr">
        <is>
          <t>MSMU8892640</t>
        </is>
      </c>
      <c r="T72" s="15" t="inlineStr">
        <is>
          <t>Restreinte</t>
        </is>
      </c>
      <c r="U72" s="17" t="n">
        <v>46233</v>
      </c>
      <c r="V72" s="15" t="inlineStr">
        <is>
          <t>PF Bénin</t>
        </is>
      </c>
      <c r="W72" s="12" t="inlineStr">
        <is>
          <t>Incohérence entre le manifeste (« cigarettes ») et la déclaration de marchandises (tabac brut HS 2401.20). Vérification recommandée.</t>
        </is>
      </c>
      <c r="X72" s="7" t="n"/>
      <c r="Y72" s="7" t="n"/>
      <c r="Z72" s="7" t="n"/>
    </row>
    <row r="73" ht="15.75" customHeight="1" s="23">
      <c r="A73" s="15" t="inlineStr">
        <is>
          <t>GEI-BEN-2026-026</t>
        </is>
      </c>
      <c r="B73" s="19" t="n">
        <v>46231</v>
      </c>
      <c r="C73" s="15" t="inlineStr">
        <is>
          <t>Point focal Douanes Bénin</t>
        </is>
      </c>
      <c r="D73" s="15" t="inlineStr">
        <is>
          <t>Bénin</t>
        </is>
      </c>
      <c r="E73" s="15" t="inlineStr">
        <is>
          <t>Pointe-Noire (Congo) – Cotonou (Bénin)</t>
        </is>
      </c>
      <c r="F73" s="12" t="inlineStr">
        <is>
          <t>Tabac brut</t>
        </is>
      </c>
      <c r="G73" s="14" t="inlineStr">
        <is>
          <t>Arrivée de 10 conteneurs de tabac brut (origine Chine). Incohérence entre le manifeste (« cigarettes ») et la marchandise déclarée (tabac brut).</t>
        </is>
      </c>
      <c r="H73" s="14" t="inlineStr">
        <is>
          <t>Déclaration douanière</t>
        </is>
      </c>
      <c r="I73" s="15" t="inlineStr">
        <is>
          <t>Oui</t>
        </is>
      </c>
      <c r="J73" s="15" t="inlineStr">
        <is>
          <t>A</t>
        </is>
      </c>
      <c r="K73" s="15" t="n">
        <v>1</v>
      </c>
      <c r="L73" s="15" t="inlineStr">
        <is>
          <t>Immédiat</t>
        </is>
      </c>
      <c r="M73" s="15" t="inlineStr">
        <is>
          <t>Élevé</t>
        </is>
      </c>
      <c r="N73" s="15" t="inlineStr">
        <is>
          <t>Actionnable</t>
        </is>
      </c>
      <c r="O73" s="15" t="inlineStr">
        <is>
          <t>En cours</t>
        </is>
      </c>
      <c r="P73" s="15" t="inlineStr">
        <is>
          <t>À valider</t>
        </is>
      </c>
      <c r="Q73" s="16" t="inlineStr">
        <is>
          <t>Suivi de la cargaison.</t>
        </is>
      </c>
      <c r="R73" s="14" t="inlineStr">
        <is>
          <t>Oui – déclaration douanière</t>
        </is>
      </c>
      <c r="S73" s="15" t="inlineStr">
        <is>
          <t>FCIU9392520</t>
        </is>
      </c>
      <c r="T73" s="15" t="inlineStr">
        <is>
          <t>Restreinte</t>
        </is>
      </c>
      <c r="U73" s="17" t="n">
        <v>46233</v>
      </c>
      <c r="V73" s="15" t="inlineStr">
        <is>
          <t>PF Bénin</t>
        </is>
      </c>
      <c r="W73" s="12" t="inlineStr">
        <is>
          <t>Incohérence entre le manifeste (« cigarettes ») et la déclaration de marchandises (tabac brut HS 2401.20). Vérification recommandée.</t>
        </is>
      </c>
      <c r="X73" s="7" t="n"/>
      <c r="Y73" s="7" t="n"/>
      <c r="Z73" s="7" t="n"/>
    </row>
    <row r="74" ht="15.75" customHeight="1" s="23">
      <c r="A74" s="15" t="inlineStr">
        <is>
          <t>GEI-BEN-2026-027</t>
        </is>
      </c>
      <c r="B74" s="19">
        <f>IFERROR(__xludf.DUMMYFUNCTION("AI(""Remplis une valeur appropriée pour cette cellule en fonction du contexte de la table"")"),"28/7/2026")</f>
        <v/>
      </c>
      <c r="C74" s="15" t="inlineStr">
        <is>
          <t>Point focal Douanes Bénin</t>
        </is>
      </c>
      <c r="D74" s="15" t="inlineStr">
        <is>
          <t>Bénin</t>
        </is>
      </c>
      <c r="E74" s="15" t="inlineStr">
        <is>
          <t>Pointe-Noire (Congo) – Cotonou (Bénin)</t>
        </is>
      </c>
      <c r="F74" s="12" t="inlineStr">
        <is>
          <t>Tabac brut</t>
        </is>
      </c>
      <c r="G74" s="14" t="inlineStr">
        <is>
          <t>Arrivée de 10 conteneurs de tabac brut (origine Chine). Incohérence entre le manifeste (« cigarettes ») et la marchandise déclarée (tabac brut).</t>
        </is>
      </c>
      <c r="H74" s="14" t="inlineStr">
        <is>
          <t>Déclaration douanière</t>
        </is>
      </c>
      <c r="I74" s="15" t="inlineStr">
        <is>
          <t>Oui</t>
        </is>
      </c>
      <c r="J74" s="15" t="inlineStr">
        <is>
          <t>A</t>
        </is>
      </c>
      <c r="K74" s="15" t="n">
        <v>1</v>
      </c>
      <c r="L74" s="15" t="inlineStr">
        <is>
          <t>Immédiat</t>
        </is>
      </c>
      <c r="M74" s="15" t="inlineStr">
        <is>
          <t>Élevé</t>
        </is>
      </c>
      <c r="N74" s="15" t="inlineStr">
        <is>
          <t>Actionnable</t>
        </is>
      </c>
      <c r="O74" s="15" t="inlineStr">
        <is>
          <t>En cours</t>
        </is>
      </c>
      <c r="P74" s="15" t="inlineStr">
        <is>
          <t>À valider</t>
        </is>
      </c>
      <c r="Q74" s="16" t="inlineStr">
        <is>
          <t>Suivi de la cargaison.</t>
        </is>
      </c>
      <c r="R74" s="14" t="inlineStr">
        <is>
          <t>Oui – déclaration douanière</t>
        </is>
      </c>
      <c r="S74" s="15" t="inlineStr">
        <is>
          <t>TGBU4831420</t>
        </is>
      </c>
      <c r="T74" s="15" t="inlineStr">
        <is>
          <t>Restreinte</t>
        </is>
      </c>
      <c r="U74" s="17" t="n">
        <v>46233</v>
      </c>
      <c r="V74" s="15" t="inlineStr">
        <is>
          <t>PF Bénin</t>
        </is>
      </c>
      <c r="W74" s="12" t="inlineStr">
        <is>
          <t>Incohérence entre le manifeste (« cigarettes ») et la déclaration de marchandises (tabac brut HS 2401.20). Vérification recommandée.</t>
        </is>
      </c>
      <c r="X74" s="7" t="n"/>
      <c r="Y74" s="7" t="n"/>
      <c r="Z74" s="7" t="n"/>
    </row>
    <row r="75" ht="15.75" customHeight="1" s="23">
      <c r="A75" s="15" t="inlineStr">
        <is>
          <t>GEI-BEN-2026-028</t>
        </is>
      </c>
      <c r="B75" s="19" t="n">
        <v>46231</v>
      </c>
      <c r="C75" s="15" t="inlineStr">
        <is>
          <t>Point focal Douanes Bénin</t>
        </is>
      </c>
      <c r="D75" s="15" t="inlineStr">
        <is>
          <t>Bénin</t>
        </is>
      </c>
      <c r="E75" s="15" t="inlineStr">
        <is>
          <t>Pointe-Noire (Congo) – Cotonou (Bénin)</t>
        </is>
      </c>
      <c r="F75" s="12" t="inlineStr">
        <is>
          <t>Tabac brut</t>
        </is>
      </c>
      <c r="G75" s="14" t="inlineStr">
        <is>
          <t>Arrivée de 10 conteneurs de tabac brut (origine Chine). Incohérence entre le manifeste (« cigarettes ») et la marchandise déclarée (tabac brut).</t>
        </is>
      </c>
      <c r="H75" s="14" t="inlineStr">
        <is>
          <t>Déclaration douanière</t>
        </is>
      </c>
      <c r="I75" s="15" t="inlineStr">
        <is>
          <t>Oui</t>
        </is>
      </c>
      <c r="J75" s="15" t="inlineStr">
        <is>
          <t>A</t>
        </is>
      </c>
      <c r="K75" s="15" t="n">
        <v>1</v>
      </c>
      <c r="L75" s="15" t="inlineStr">
        <is>
          <t>Immédiat</t>
        </is>
      </c>
      <c r="M75" s="15" t="inlineStr">
        <is>
          <t>Élevé</t>
        </is>
      </c>
      <c r="N75" s="15" t="inlineStr">
        <is>
          <t>Actionnable</t>
        </is>
      </c>
      <c r="O75" s="15" t="inlineStr">
        <is>
          <t>En cours</t>
        </is>
      </c>
      <c r="P75" s="15" t="inlineStr">
        <is>
          <t>À valider</t>
        </is>
      </c>
      <c r="Q75" s="16" t="inlineStr">
        <is>
          <t>Suivi de la cargaison.</t>
        </is>
      </c>
      <c r="R75" s="14" t="inlineStr">
        <is>
          <t>Oui – déclaration douanière</t>
        </is>
      </c>
      <c r="S75" s="15" t="inlineStr">
        <is>
          <t>GAOU7396569</t>
        </is>
      </c>
      <c r="T75" s="15" t="inlineStr">
        <is>
          <t>Restreinte</t>
        </is>
      </c>
      <c r="U75" s="17" t="n">
        <v>46233</v>
      </c>
      <c r="V75" s="15" t="inlineStr">
        <is>
          <t>PF Bénin</t>
        </is>
      </c>
      <c r="W75" s="12" t="inlineStr">
        <is>
          <t>Incohérence entre le manifeste (« cigarettes ») et la déclaration de marchandises (tabac brut HS 2401.20). Vérification recommandée.</t>
        </is>
      </c>
      <c r="X75" s="7" t="n"/>
      <c r="Y75" s="7" t="n"/>
      <c r="Z75" s="7" t="n"/>
    </row>
    <row r="76" ht="15.75" customHeight="1" s="23">
      <c r="A76" s="15" t="inlineStr">
        <is>
          <t>GEI-BEN-2026-029</t>
        </is>
      </c>
      <c r="B76" s="19" t="n">
        <v>46231</v>
      </c>
      <c r="C76" s="15" t="inlineStr">
        <is>
          <t>Point focal Douanes Bénin</t>
        </is>
      </c>
      <c r="D76" s="15" t="inlineStr">
        <is>
          <t>Bénin</t>
        </is>
      </c>
      <c r="E76" s="15" t="inlineStr">
        <is>
          <t>Pointe-Noire (Congo) – Cotonou (Bénin)</t>
        </is>
      </c>
      <c r="F76" s="12" t="inlineStr">
        <is>
          <t>Tabac brut</t>
        </is>
      </c>
      <c r="G76" s="14" t="inlineStr">
        <is>
          <t>Arrivée de 10 conteneurs de tabac brut (origine Chine). Incohérence entre le manifeste (« cigarettes ») et la marchandise déclarée (tabac brut).</t>
        </is>
      </c>
      <c r="H76" s="14" t="inlineStr">
        <is>
          <t>Déclaration douanière</t>
        </is>
      </c>
      <c r="I76" s="15" t="inlineStr">
        <is>
          <t>Oui</t>
        </is>
      </c>
      <c r="J76" s="15" t="inlineStr">
        <is>
          <t>A</t>
        </is>
      </c>
      <c r="K76" s="15" t="n">
        <v>1</v>
      </c>
      <c r="L76" s="15" t="inlineStr">
        <is>
          <t>Immédiat</t>
        </is>
      </c>
      <c r="M76" s="15" t="inlineStr">
        <is>
          <t>Élevé</t>
        </is>
      </c>
      <c r="N76" s="15" t="inlineStr">
        <is>
          <t>Actionnable</t>
        </is>
      </c>
      <c r="O76" s="15" t="inlineStr">
        <is>
          <t>En cours</t>
        </is>
      </c>
      <c r="P76" s="15" t="inlineStr">
        <is>
          <t>À valider</t>
        </is>
      </c>
      <c r="Q76" s="16" t="inlineStr">
        <is>
          <t>Suivi de la cargaison.</t>
        </is>
      </c>
      <c r="R76" s="14" t="inlineStr">
        <is>
          <t>Oui – déclaration douanière</t>
        </is>
      </c>
      <c r="S76" s="15" t="inlineStr">
        <is>
          <t>TGBU9852174</t>
        </is>
      </c>
      <c r="T76" s="15" t="inlineStr">
        <is>
          <t>Restreinte</t>
        </is>
      </c>
      <c r="U76" s="17" t="n">
        <v>46233</v>
      </c>
      <c r="V76" s="15" t="inlineStr">
        <is>
          <t>PF Bénin</t>
        </is>
      </c>
      <c r="W76" s="12" t="inlineStr">
        <is>
          <t>Incohérence entre le manifeste (« cigarettes ») et la déclaration de marchandises (tabac brut HS 2401.20). Vérification recommandée.</t>
        </is>
      </c>
      <c r="X76" s="7" t="n"/>
      <c r="Y76" s="7" t="n"/>
      <c r="Z76" s="7" t="n"/>
    </row>
    <row r="77" ht="15.75" customHeight="1" s="23">
      <c r="A77" s="15" t="inlineStr">
        <is>
          <t>GEI-BEN-2026-030</t>
        </is>
      </c>
      <c r="B77" s="19" t="n">
        <v>46231</v>
      </c>
      <c r="C77" s="15" t="inlineStr">
        <is>
          <t>Point focal Douanes Bénin</t>
        </is>
      </c>
      <c r="D77" s="15" t="inlineStr">
        <is>
          <t>Bénin</t>
        </is>
      </c>
      <c r="E77" s="15" t="inlineStr">
        <is>
          <t>Pointe-Noire (Congo) – Cotonou (Bénin)</t>
        </is>
      </c>
      <c r="F77" s="12" t="inlineStr">
        <is>
          <t>Tabac brut</t>
        </is>
      </c>
      <c r="G77" s="14" t="inlineStr">
        <is>
          <t>Arrivée de 10 conteneurs de tabac brut (origine Chine). Incohérence entre le manifeste (« cigarettes ») et la marchandise déclarée (tabac brut).</t>
        </is>
      </c>
      <c r="H77" s="14" t="inlineStr">
        <is>
          <t>Déclaration douanière</t>
        </is>
      </c>
      <c r="I77" s="15" t="inlineStr">
        <is>
          <t>Oui</t>
        </is>
      </c>
      <c r="J77" s="15" t="inlineStr">
        <is>
          <t>A</t>
        </is>
      </c>
      <c r="K77" s="15" t="n">
        <v>1</v>
      </c>
      <c r="L77" s="15" t="inlineStr">
        <is>
          <t>Immédiat</t>
        </is>
      </c>
      <c r="M77" s="15" t="inlineStr">
        <is>
          <t>Élevé</t>
        </is>
      </c>
      <c r="N77" s="15" t="inlineStr">
        <is>
          <t>Actionnable</t>
        </is>
      </c>
      <c r="O77" s="15" t="inlineStr">
        <is>
          <t>En cours</t>
        </is>
      </c>
      <c r="P77" s="15" t="inlineStr">
        <is>
          <t>À valider</t>
        </is>
      </c>
      <c r="Q77" s="16" t="inlineStr">
        <is>
          <t>Suivi de la cargaison.</t>
        </is>
      </c>
      <c r="R77" s="14" t="inlineStr">
        <is>
          <t>Oui – déclaration douanière</t>
        </is>
      </c>
      <c r="S77" s="15" t="inlineStr">
        <is>
          <t>CAAU4557020</t>
        </is>
      </c>
      <c r="T77" s="15" t="inlineStr">
        <is>
          <t>Restreinte</t>
        </is>
      </c>
      <c r="U77" s="17" t="n">
        <v>46233</v>
      </c>
      <c r="V77" s="15" t="inlineStr">
        <is>
          <t>PF Bénin</t>
        </is>
      </c>
      <c r="W77" s="12" t="inlineStr">
        <is>
          <t>Incohérence entre le manifeste (« cigarettes ») et la déclaration de marchandises (tabac brut HS 2401.20). Vérification recommandée.</t>
        </is>
      </c>
      <c r="X77" s="7" t="n"/>
      <c r="Y77" s="7" t="n"/>
      <c r="Z77" s="7" t="n"/>
    </row>
    <row r="78" ht="15.75" customHeight="1" s="23">
      <c r="A78" s="15" t="inlineStr">
        <is>
          <t>GEI-BEN-2026-031</t>
        </is>
      </c>
      <c r="B78" s="19" t="n">
        <v>46231</v>
      </c>
      <c r="C78" s="15" t="inlineStr">
        <is>
          <t>Point focal Douanes Bénin</t>
        </is>
      </c>
      <c r="D78" s="15" t="inlineStr">
        <is>
          <t>Bénin</t>
        </is>
      </c>
      <c r="E78" s="15" t="inlineStr">
        <is>
          <t>Pointe-Noire (Congo) – Cotonou (Bénin)</t>
        </is>
      </c>
      <c r="F78" s="12" t="inlineStr">
        <is>
          <t>Tabac brut</t>
        </is>
      </c>
      <c r="G78" s="14" t="inlineStr">
        <is>
          <t>Arrivée de 10 conteneurs de tabac brut (origine Chine). Incohérence entre le manifeste (« cigarettes ») et la marchandise déclarée (tabac brut).</t>
        </is>
      </c>
      <c r="H78" s="14" t="inlineStr">
        <is>
          <t>Déclaration douanière</t>
        </is>
      </c>
      <c r="I78" s="15" t="inlineStr">
        <is>
          <t>Oui</t>
        </is>
      </c>
      <c r="J78" s="15" t="inlineStr">
        <is>
          <t>A</t>
        </is>
      </c>
      <c r="K78" s="15" t="n">
        <v>1</v>
      </c>
      <c r="L78" s="15" t="inlineStr">
        <is>
          <t>Immédiat</t>
        </is>
      </c>
      <c r="M78" s="15" t="inlineStr">
        <is>
          <t>Élevé</t>
        </is>
      </c>
      <c r="N78" s="15" t="inlineStr">
        <is>
          <t>Actionnable</t>
        </is>
      </c>
      <c r="O78" s="15" t="inlineStr">
        <is>
          <t>En cours</t>
        </is>
      </c>
      <c r="P78" s="15" t="inlineStr">
        <is>
          <t>À valider</t>
        </is>
      </c>
      <c r="Q78" s="16" t="inlineStr">
        <is>
          <t>Suivi de la cargaison.</t>
        </is>
      </c>
      <c r="R78" s="14" t="inlineStr">
        <is>
          <t>Oui – déclaration douanière</t>
        </is>
      </c>
      <c r="S78" s="15" t="inlineStr">
        <is>
          <t>MEDU4361154</t>
        </is>
      </c>
      <c r="T78" s="15" t="inlineStr">
        <is>
          <t>Restreinte</t>
        </is>
      </c>
      <c r="U78" s="17" t="n">
        <v>46233</v>
      </c>
      <c r="V78" s="15" t="inlineStr">
        <is>
          <t>PF Bénin</t>
        </is>
      </c>
      <c r="W78" s="12" t="inlineStr">
        <is>
          <t>Incohérence entre le manifeste (« cigarettes ») et la déclaration de marchandises (tabac brut HS 2401.20). Vérification recommandée.</t>
        </is>
      </c>
      <c r="X78" s="7" t="n"/>
      <c r="Y78" s="7" t="n"/>
      <c r="Z78" s="7" t="n"/>
    </row>
    <row r="79" ht="15.75" customHeight="1" s="23">
      <c r="A79" s="15" t="inlineStr">
        <is>
          <t>GEI-BEN-2026-032</t>
        </is>
      </c>
      <c r="B79" s="19" t="n">
        <v>46231</v>
      </c>
      <c r="C79" s="15" t="inlineStr">
        <is>
          <t>Point focal Douanes Bénin</t>
        </is>
      </c>
      <c r="D79" s="15" t="inlineStr">
        <is>
          <t>Bénin</t>
        </is>
      </c>
      <c r="E79" s="15" t="inlineStr">
        <is>
          <t>Pointe-Noire (Congo) – Cotonou (Bénin)</t>
        </is>
      </c>
      <c r="F79" s="12" t="inlineStr">
        <is>
          <t>Tabac brut</t>
        </is>
      </c>
      <c r="G79" s="14" t="inlineStr">
        <is>
          <t>Arrivée de 10 conteneurs de tabac brut (origine Chine). Incohérence entre le manifeste (« cigarettes ») et la marchandise déclarée (tabac brut).</t>
        </is>
      </c>
      <c r="H79" s="14" t="inlineStr">
        <is>
          <t>Déclaration douanière</t>
        </is>
      </c>
      <c r="I79" s="15" t="inlineStr">
        <is>
          <t>Oui</t>
        </is>
      </c>
      <c r="J79" s="15" t="inlineStr">
        <is>
          <t>A</t>
        </is>
      </c>
      <c r="K79" s="15" t="n">
        <v>1</v>
      </c>
      <c r="L79" s="15" t="inlineStr">
        <is>
          <t>Immédiat</t>
        </is>
      </c>
      <c r="M79" s="15" t="inlineStr">
        <is>
          <t>Élevé</t>
        </is>
      </c>
      <c r="N79" s="15" t="inlineStr">
        <is>
          <t>Actionnable</t>
        </is>
      </c>
      <c r="O79" s="15" t="inlineStr">
        <is>
          <t>En cours</t>
        </is>
      </c>
      <c r="P79" s="15" t="inlineStr">
        <is>
          <t>À valider</t>
        </is>
      </c>
      <c r="Q79" s="16" t="inlineStr">
        <is>
          <t>Suivi de la cargaison.</t>
        </is>
      </c>
      <c r="R79" s="14" t="inlineStr">
        <is>
          <t>Oui – déclaration douanière</t>
        </is>
      </c>
      <c r="S79" s="15" t="inlineStr">
        <is>
          <t>MSNU7354650</t>
        </is>
      </c>
      <c r="T79" s="15" t="inlineStr">
        <is>
          <t>Restreinte</t>
        </is>
      </c>
      <c r="U79" s="17" t="n">
        <v>46233</v>
      </c>
      <c r="V79" s="15" t="inlineStr">
        <is>
          <t>PF Bénin</t>
        </is>
      </c>
      <c r="W79" s="12" t="inlineStr">
        <is>
          <t>Incohérence entre le manifeste (« cigarettes ») et la déclaration de marchandises (tabac brut HS 2401.20). Vérification recommandée.</t>
        </is>
      </c>
      <c r="X79" s="7" t="n"/>
      <c r="Y79" s="7" t="n"/>
      <c r="Z79" s="7" t="n"/>
    </row>
    <row r="80" ht="15.75" customHeight="1" s="23">
      <c r="A80" s="15" t="inlineStr">
        <is>
          <t>GEI-BEN-2026-033</t>
        </is>
      </c>
      <c r="B80" s="19">
        <f>IFERROR(__xludf.DUMMYFUNCTION("AI(""Remplis une valeur appropriée pour cette cellule en fonction du contexte de la table"")"),"28/7/2026")</f>
        <v/>
      </c>
      <c r="C80" s="15" t="inlineStr">
        <is>
          <t>Point focal Douanes Bénin</t>
        </is>
      </c>
      <c r="D80" s="15" t="inlineStr">
        <is>
          <t>Bénin</t>
        </is>
      </c>
      <c r="E80" s="15" t="inlineStr">
        <is>
          <t>Las Palmas (Espagne) – Cotonou (Bénin)</t>
        </is>
      </c>
      <c r="F80" s="12" t="inlineStr">
        <is>
          <t>Tabac brut</t>
        </is>
      </c>
      <c r="G80" s="12" t="inlineStr">
        <is>
          <t>Arrivée de 8 conteneurs de tabac brut. Marchandise déclarée : tabac brut non manufacturé.</t>
        </is>
      </c>
      <c r="H80" s="14" t="inlineStr">
        <is>
          <t>Déclaration douanière</t>
        </is>
      </c>
      <c r="I80" s="15" t="inlineStr">
        <is>
          <t>Oui</t>
        </is>
      </c>
      <c r="J80" s="15" t="inlineStr">
        <is>
          <t>A</t>
        </is>
      </c>
      <c r="K80" s="15" t="n">
        <v>1</v>
      </c>
      <c r="L80" s="15" t="inlineStr">
        <is>
          <t>Immédiat</t>
        </is>
      </c>
      <c r="M80" s="15" t="inlineStr">
        <is>
          <t>Élevé</t>
        </is>
      </c>
      <c r="N80" s="15" t="inlineStr">
        <is>
          <t>Actionnable</t>
        </is>
      </c>
      <c r="O80" s="15" t="inlineStr">
        <is>
          <t>En cours</t>
        </is>
      </c>
      <c r="P80" s="15" t="inlineStr">
        <is>
          <t>À valider</t>
        </is>
      </c>
      <c r="Q80" s="16" t="inlineStr">
        <is>
          <t>Suivi de la cargaison.</t>
        </is>
      </c>
      <c r="R80" s="14" t="inlineStr">
        <is>
          <t>Oui – déclaration douanière</t>
        </is>
      </c>
      <c r="S80" s="15" t="inlineStr">
        <is>
          <t>MSBU7663420</t>
        </is>
      </c>
      <c r="T80" s="15" t="inlineStr">
        <is>
          <t>Restreinte</t>
        </is>
      </c>
      <c r="U80" s="17" t="n">
        <v>46233</v>
      </c>
      <c r="V80" s="15" t="inlineStr">
        <is>
          <t>PF Bénin</t>
        </is>
      </c>
      <c r="W80" s="12" t="inlineStr">
        <is>
          <t>Incohérence entre le manifeste (« cigarettes ») et la déclaration de marchandises (tabac brut HS 2401.20). Vérification recommandée.</t>
        </is>
      </c>
      <c r="X80" s="7" t="n"/>
      <c r="Y80" s="7" t="n"/>
      <c r="Z80" s="7" t="n"/>
    </row>
    <row r="81" ht="15.75" customHeight="1" s="23">
      <c r="A81" s="15" t="inlineStr">
        <is>
          <t>GEI-BEN-2026-034</t>
        </is>
      </c>
      <c r="B81" s="19" t="n">
        <v>46231</v>
      </c>
      <c r="C81" s="15" t="inlineStr">
        <is>
          <t>Point focal Douanes Bénin</t>
        </is>
      </c>
      <c r="D81" s="15" t="inlineStr">
        <is>
          <t>Bénin</t>
        </is>
      </c>
      <c r="E81" s="15" t="inlineStr">
        <is>
          <t>Las Palmas (Espagne) – Cotonou (Bénin)</t>
        </is>
      </c>
      <c r="F81" s="12" t="inlineStr">
        <is>
          <t>Tabac brut</t>
        </is>
      </c>
      <c r="G81" s="12" t="inlineStr">
        <is>
          <t>Arrivée de 8 conteneurs de tabac brut. Marchandise déclarée : tabac brut non manufacturé.</t>
        </is>
      </c>
      <c r="H81" s="14" t="inlineStr">
        <is>
          <t>Déclaration douanière</t>
        </is>
      </c>
      <c r="I81" s="15" t="inlineStr">
        <is>
          <t>Oui</t>
        </is>
      </c>
      <c r="J81" s="15" t="inlineStr">
        <is>
          <t>A</t>
        </is>
      </c>
      <c r="K81" s="15" t="n">
        <v>1</v>
      </c>
      <c r="L81" s="15" t="inlineStr">
        <is>
          <t>Immédiat</t>
        </is>
      </c>
      <c r="M81" s="15" t="inlineStr">
        <is>
          <t>Élevé</t>
        </is>
      </c>
      <c r="N81" s="15" t="inlineStr">
        <is>
          <t>Actionnable</t>
        </is>
      </c>
      <c r="O81" s="15" t="inlineStr">
        <is>
          <t>En cours</t>
        </is>
      </c>
      <c r="P81" s="15" t="inlineStr">
        <is>
          <t>À valider</t>
        </is>
      </c>
      <c r="Q81" s="16" t="inlineStr">
        <is>
          <t>Suivi de la cargaison.</t>
        </is>
      </c>
      <c r="R81" s="14" t="inlineStr">
        <is>
          <t>Oui – déclaration douanière</t>
        </is>
      </c>
      <c r="S81" s="15" t="inlineStr">
        <is>
          <t>MSMU4038905</t>
        </is>
      </c>
      <c r="T81" s="15" t="inlineStr">
        <is>
          <t>Restreinte</t>
        </is>
      </c>
      <c r="U81" s="17" t="n">
        <v>46233</v>
      </c>
      <c r="V81" s="15" t="inlineStr">
        <is>
          <t>PF Bénin</t>
        </is>
      </c>
      <c r="W81" s="12" t="inlineStr">
        <is>
          <t>Incohérence entre le manifeste (« cigarettes ») et la déclaration de marchandises (tabac brut HS 2401.20). Vérification recommandée.</t>
        </is>
      </c>
      <c r="X81" s="7" t="n"/>
      <c r="Y81" s="7" t="n"/>
      <c r="Z81" s="7" t="n"/>
    </row>
    <row r="82" ht="15.75" customHeight="1" s="23">
      <c r="A82" s="18" t="inlineStr">
        <is>
          <t>GEI-BEN-2026-035</t>
        </is>
      </c>
      <c r="B82" s="19" t="n">
        <v>46231</v>
      </c>
      <c r="C82" s="15" t="inlineStr">
        <is>
          <t>Point focal Douanes Bénin</t>
        </is>
      </c>
      <c r="D82" s="18" t="inlineStr">
        <is>
          <t>Bénin</t>
        </is>
      </c>
      <c r="E82" s="18" t="inlineStr">
        <is>
          <t>Las Palmas (Espagne) – Cotonou (Bénin)</t>
        </is>
      </c>
      <c r="F82" s="12" t="inlineStr">
        <is>
          <t>Tabac brut</t>
        </is>
      </c>
      <c r="G82" s="12" t="inlineStr">
        <is>
          <t>Arrivée de 8 conteneurs de tabac brut. Marchandise déclarée : tabac brut non manufacturé.</t>
        </is>
      </c>
      <c r="H82" s="14" t="inlineStr">
        <is>
          <t>Déclaration douanière</t>
        </is>
      </c>
      <c r="I82" s="15" t="inlineStr">
        <is>
          <t>Oui</t>
        </is>
      </c>
      <c r="J82" s="15" t="inlineStr">
        <is>
          <t>A</t>
        </is>
      </c>
      <c r="K82" s="15" t="n">
        <v>1</v>
      </c>
      <c r="L82" s="15" t="inlineStr">
        <is>
          <t>Immédiat</t>
        </is>
      </c>
      <c r="M82" s="15" t="inlineStr">
        <is>
          <t>Élevé</t>
        </is>
      </c>
      <c r="N82" s="15" t="inlineStr">
        <is>
          <t>Actionnable</t>
        </is>
      </c>
      <c r="O82" s="15" t="inlineStr">
        <is>
          <t>En cours</t>
        </is>
      </c>
      <c r="P82" s="15" t="inlineStr">
        <is>
          <t>À valider</t>
        </is>
      </c>
      <c r="Q82" s="16" t="inlineStr">
        <is>
          <t>Suivi de la cargaison.</t>
        </is>
      </c>
      <c r="R82" s="14" t="inlineStr">
        <is>
          <t>Oui – déclaration douanière</t>
        </is>
      </c>
      <c r="S82" s="15" t="inlineStr">
        <is>
          <t>MSBU5441085</t>
        </is>
      </c>
      <c r="T82" s="15" t="inlineStr">
        <is>
          <t>Restreinte</t>
        </is>
      </c>
      <c r="U82" s="17" t="n">
        <v>46233</v>
      </c>
      <c r="V82" s="15" t="inlineStr">
        <is>
          <t>PF Bénin</t>
        </is>
      </c>
      <c r="W82" s="12" t="inlineStr">
        <is>
          <t>Incohérence entre le manifeste (« cigarettes ») et la déclaration de marchandises (tabac brut HS 2401.20). Vérification recommandée.</t>
        </is>
      </c>
      <c r="X82" s="7" t="n"/>
      <c r="Y82" s="7" t="n"/>
      <c r="Z82" s="7" t="n"/>
    </row>
    <row r="83" ht="15.75" customHeight="1" s="23">
      <c r="A83" s="18" t="inlineStr">
        <is>
          <t>GEI-BEN-2026-036</t>
        </is>
      </c>
      <c r="B83" s="19" t="n">
        <v>46231</v>
      </c>
      <c r="C83" s="15" t="inlineStr">
        <is>
          <t>Point focal Douanes Bénin</t>
        </is>
      </c>
      <c r="D83" s="18" t="inlineStr">
        <is>
          <t>Bénin</t>
        </is>
      </c>
      <c r="E83" s="18" t="inlineStr">
        <is>
          <t>Las Palmas (Espagne) – Cotonou (Bénin)</t>
        </is>
      </c>
      <c r="F83" s="12" t="inlineStr">
        <is>
          <t>Tabac brut</t>
        </is>
      </c>
      <c r="G83" s="12" t="inlineStr">
        <is>
          <t>Arrivée de 8 conteneurs de tabac brut. Marchandise déclarée : tabac brut non manufacturé.</t>
        </is>
      </c>
      <c r="H83" s="14" t="inlineStr">
        <is>
          <t>Déclaration douanière</t>
        </is>
      </c>
      <c r="I83" s="15" t="inlineStr">
        <is>
          <t>Oui</t>
        </is>
      </c>
      <c r="J83" s="15" t="inlineStr">
        <is>
          <t>A</t>
        </is>
      </c>
      <c r="K83" s="15" t="n">
        <v>1</v>
      </c>
      <c r="L83" s="15" t="inlineStr">
        <is>
          <t>Immédiat</t>
        </is>
      </c>
      <c r="M83" s="15" t="inlineStr">
        <is>
          <t>Élevé</t>
        </is>
      </c>
      <c r="N83" s="15" t="inlineStr">
        <is>
          <t>Actionnable</t>
        </is>
      </c>
      <c r="O83" s="15" t="inlineStr">
        <is>
          <t>En cours</t>
        </is>
      </c>
      <c r="P83" s="15" t="inlineStr">
        <is>
          <t>À valider</t>
        </is>
      </c>
      <c r="Q83" s="16" t="inlineStr">
        <is>
          <t>Suivi de la cargaison.</t>
        </is>
      </c>
      <c r="R83" s="14" t="inlineStr">
        <is>
          <t>Oui – déclaration douanière</t>
        </is>
      </c>
      <c r="S83" s="15" t="inlineStr">
        <is>
          <t>TXGU8316462</t>
        </is>
      </c>
      <c r="T83" s="15" t="inlineStr">
        <is>
          <t>Restreinte</t>
        </is>
      </c>
      <c r="U83" s="17" t="n">
        <v>46233</v>
      </c>
      <c r="V83" s="15" t="inlineStr">
        <is>
          <t>PF Bénin</t>
        </is>
      </c>
      <c r="W83" s="12" t="inlineStr">
        <is>
          <t>Incohérence entre le manifeste (« cigarettes ») et la déclaration de marchandises (tabac brut HS 2401.20). Vérification recommandée.</t>
        </is>
      </c>
      <c r="X83" s="7" t="n"/>
      <c r="Y83" s="7" t="n"/>
      <c r="Z83" s="7" t="n"/>
    </row>
    <row r="84" ht="15.75" customHeight="1" s="23">
      <c r="A84" s="18" t="inlineStr">
        <is>
          <t>GEI-BEN-2026-037</t>
        </is>
      </c>
      <c r="B84" s="19" t="n">
        <v>46231</v>
      </c>
      <c r="C84" s="15" t="inlineStr">
        <is>
          <t>Point focal Douanes Bénin</t>
        </is>
      </c>
      <c r="D84" s="18" t="inlineStr">
        <is>
          <t>Bénin</t>
        </is>
      </c>
      <c r="E84" s="18" t="inlineStr">
        <is>
          <t>Las Palmas (Espagne) – Cotonou (Bénin)</t>
        </is>
      </c>
      <c r="F84" s="12" t="inlineStr">
        <is>
          <t>Tabac brut</t>
        </is>
      </c>
      <c r="G84" s="12" t="inlineStr">
        <is>
          <t>Arrivée de 8 conteneurs de tabac brut. Marchandise déclarée : tabac brut non manufacturé.</t>
        </is>
      </c>
      <c r="H84" s="14" t="inlineStr">
        <is>
          <t>Déclaration douanière</t>
        </is>
      </c>
      <c r="I84" s="15" t="inlineStr">
        <is>
          <t>Oui</t>
        </is>
      </c>
      <c r="J84" s="15" t="inlineStr">
        <is>
          <t>A</t>
        </is>
      </c>
      <c r="K84" s="15" t="n">
        <v>1</v>
      </c>
      <c r="L84" s="15" t="inlineStr">
        <is>
          <t>Immédiat</t>
        </is>
      </c>
      <c r="M84" s="15" t="inlineStr">
        <is>
          <t>Élevé</t>
        </is>
      </c>
      <c r="N84" s="15" t="inlineStr">
        <is>
          <t>Actionnable</t>
        </is>
      </c>
      <c r="O84" s="15" t="inlineStr">
        <is>
          <t>En cours</t>
        </is>
      </c>
      <c r="P84" s="15" t="inlineStr">
        <is>
          <t>À valider</t>
        </is>
      </c>
      <c r="Q84" s="16" t="inlineStr">
        <is>
          <t>Suivi de la cargaison.</t>
        </is>
      </c>
      <c r="R84" s="14" t="inlineStr">
        <is>
          <t>Oui – déclaration douanière</t>
        </is>
      </c>
      <c r="S84" s="15" t="inlineStr">
        <is>
          <t>CAAU7789420</t>
        </is>
      </c>
      <c r="T84" s="15" t="inlineStr">
        <is>
          <t>Restreinte</t>
        </is>
      </c>
      <c r="U84" s="17" t="n">
        <v>46233</v>
      </c>
      <c r="V84" s="15" t="inlineStr">
        <is>
          <t>PF Bénin</t>
        </is>
      </c>
      <c r="W84" s="12" t="inlineStr">
        <is>
          <t>Incohérence entre le manifeste (« cigarettes ») et la déclaration de marchandises (tabac brut HS 2401.20). Vérification recommandée.</t>
        </is>
      </c>
      <c r="X84" s="7" t="n"/>
      <c r="Y84" s="7" t="n"/>
      <c r="Z84" s="7" t="n"/>
    </row>
    <row r="85" ht="15.75" customHeight="1" s="23">
      <c r="A85" s="18" t="inlineStr">
        <is>
          <t>GEI-BEN-2026-038</t>
        </is>
      </c>
      <c r="B85" s="19" t="n">
        <v>46231</v>
      </c>
      <c r="C85" s="15" t="inlineStr">
        <is>
          <t>Point focal Douanes Bénin</t>
        </is>
      </c>
      <c r="D85" s="18" t="inlineStr">
        <is>
          <t>Bénin</t>
        </is>
      </c>
      <c r="E85" s="18" t="inlineStr">
        <is>
          <t>Las Palmas (Espagne) – Cotonou (Bénin)</t>
        </is>
      </c>
      <c r="F85" s="12" t="inlineStr">
        <is>
          <t>Tabac brut</t>
        </is>
      </c>
      <c r="G85" s="12" t="inlineStr">
        <is>
          <t>Arrivée de 8 conteneurs de tabac brut. Marchandise déclarée : tabac brut non manufacturé.</t>
        </is>
      </c>
      <c r="H85" s="14" t="inlineStr">
        <is>
          <t>Déclaration douanière</t>
        </is>
      </c>
      <c r="I85" s="15" t="inlineStr">
        <is>
          <t>Oui</t>
        </is>
      </c>
      <c r="J85" s="15" t="inlineStr">
        <is>
          <t>A</t>
        </is>
      </c>
      <c r="K85" s="15" t="n">
        <v>1</v>
      </c>
      <c r="L85" s="15" t="inlineStr">
        <is>
          <t>Immédiat</t>
        </is>
      </c>
      <c r="M85" s="15" t="inlineStr">
        <is>
          <t>Élevé</t>
        </is>
      </c>
      <c r="N85" s="15" t="inlineStr">
        <is>
          <t>Actionnable</t>
        </is>
      </c>
      <c r="O85" s="15" t="inlineStr">
        <is>
          <t>En cours</t>
        </is>
      </c>
      <c r="P85" s="15" t="inlineStr">
        <is>
          <t>À valider</t>
        </is>
      </c>
      <c r="Q85" s="16" t="inlineStr">
        <is>
          <t>Suivi de la cargaison.</t>
        </is>
      </c>
      <c r="R85" s="14" t="inlineStr">
        <is>
          <t>Oui – déclaration douanière</t>
        </is>
      </c>
      <c r="S85" s="15" t="inlineStr">
        <is>
          <t>MSBU6651281</t>
        </is>
      </c>
      <c r="T85" s="15" t="inlineStr">
        <is>
          <t>Restreinte</t>
        </is>
      </c>
      <c r="U85" s="17" t="n">
        <v>46233</v>
      </c>
      <c r="V85" s="15" t="inlineStr">
        <is>
          <t>PF Bénin</t>
        </is>
      </c>
      <c r="W85" s="12" t="inlineStr">
        <is>
          <t>Incohérence entre le manifeste (« cigarettes ») et la déclaration de marchandises (tabac brut HS 2401.20). Vérification recommandée.</t>
        </is>
      </c>
      <c r="X85" s="7" t="n"/>
      <c r="Y85" s="7" t="n"/>
      <c r="Z85" s="7" t="n"/>
    </row>
    <row r="86" ht="15.75" customHeight="1" s="23">
      <c r="A86" s="18" t="inlineStr">
        <is>
          <t>GEI-BEN-2026-039</t>
        </is>
      </c>
      <c r="B86" s="19">
        <f>IFERROR(__xludf.DUMMYFUNCTION("AI(""Remplis une valeur appropriée pour cette cellule en fonction du contexte de la table"")"),"28/7/2026")</f>
        <v/>
      </c>
      <c r="C86" s="15" t="inlineStr">
        <is>
          <t>Point focal Douanes Bénin</t>
        </is>
      </c>
      <c r="D86" s="18" t="inlineStr">
        <is>
          <t>Bénin</t>
        </is>
      </c>
      <c r="E86" s="18" t="inlineStr">
        <is>
          <t>Las Palmas (Espagne) – Cotonou (Bénin)</t>
        </is>
      </c>
      <c r="F86" s="12" t="inlineStr">
        <is>
          <t>Tabac brut</t>
        </is>
      </c>
      <c r="G86" s="12" t="inlineStr">
        <is>
          <t>Arrivée de 8 conteneurs de tabac brut. Marchandise déclarée : tabac brut non manufacturé.</t>
        </is>
      </c>
      <c r="H86" s="14" t="inlineStr">
        <is>
          <t>Déclaration douanière</t>
        </is>
      </c>
      <c r="I86" s="15" t="inlineStr">
        <is>
          <t>Oui</t>
        </is>
      </c>
      <c r="J86" s="15" t="inlineStr">
        <is>
          <t>A</t>
        </is>
      </c>
      <c r="K86" s="15" t="n">
        <v>1</v>
      </c>
      <c r="L86" s="15" t="inlineStr">
        <is>
          <t>Immédiat</t>
        </is>
      </c>
      <c r="M86" s="15" t="inlineStr">
        <is>
          <t>Élevé</t>
        </is>
      </c>
      <c r="N86" s="15" t="inlineStr">
        <is>
          <t>Actionnable</t>
        </is>
      </c>
      <c r="O86" s="15" t="inlineStr">
        <is>
          <t>En cours</t>
        </is>
      </c>
      <c r="P86" s="15" t="inlineStr">
        <is>
          <t>À valider</t>
        </is>
      </c>
      <c r="Q86" s="16" t="inlineStr">
        <is>
          <t>Suivi de la cargaison.</t>
        </is>
      </c>
      <c r="R86" s="14" t="inlineStr">
        <is>
          <t>Oui – déclaration douanière</t>
        </is>
      </c>
      <c r="S86" s="15" t="inlineStr">
        <is>
          <t>MSNU7716975</t>
        </is>
      </c>
      <c r="T86" s="15" t="inlineStr">
        <is>
          <t>Restreinte</t>
        </is>
      </c>
      <c r="U86" s="17" t="n">
        <v>46233</v>
      </c>
      <c r="V86" s="15" t="inlineStr">
        <is>
          <t>PF Bénin</t>
        </is>
      </c>
      <c r="W86" s="12" t="inlineStr">
        <is>
          <t>Incohérence entre le manifeste (« cigarettes ») et la déclaration de marchandises (tabac brut HS 2401.20). Vérification recommandée.</t>
        </is>
      </c>
      <c r="X86" s="7" t="n"/>
      <c r="Y86" s="7" t="n"/>
      <c r="Z86" s="7" t="n"/>
    </row>
    <row r="87" ht="15.75" customHeight="1" s="23">
      <c r="A87" s="18" t="inlineStr">
        <is>
          <t>GEI-BEN-2026-040</t>
        </is>
      </c>
      <c r="B87" s="19" t="n">
        <v>46231</v>
      </c>
      <c r="C87" s="15" t="inlineStr">
        <is>
          <t>Point focal Douanes Bénin</t>
        </is>
      </c>
      <c r="D87" s="18" t="inlineStr">
        <is>
          <t>Bénin</t>
        </is>
      </c>
      <c r="E87" s="18" t="inlineStr">
        <is>
          <t>Las Palmas (Espagne) – Cotonou (Bénin)</t>
        </is>
      </c>
      <c r="F87" s="12" t="inlineStr">
        <is>
          <t>Tabac brut</t>
        </is>
      </c>
      <c r="G87" s="12" t="inlineStr">
        <is>
          <t>Arrivée de 8 conteneurs de tabac brut. Marchandise déclarée : tabac brut non manufacturé.</t>
        </is>
      </c>
      <c r="H87" s="14" t="inlineStr">
        <is>
          <t>Déclaration douanière</t>
        </is>
      </c>
      <c r="I87" s="15" t="inlineStr">
        <is>
          <t>Oui</t>
        </is>
      </c>
      <c r="J87" s="15" t="inlineStr">
        <is>
          <t>A</t>
        </is>
      </c>
      <c r="K87" s="15" t="n">
        <v>1</v>
      </c>
      <c r="L87" s="15" t="inlineStr">
        <is>
          <t>Immédiat</t>
        </is>
      </c>
      <c r="M87" s="15" t="inlineStr">
        <is>
          <t>Élevé</t>
        </is>
      </c>
      <c r="N87" s="15" t="inlineStr">
        <is>
          <t>Actionnable</t>
        </is>
      </c>
      <c r="O87" s="15" t="inlineStr">
        <is>
          <t>En cours</t>
        </is>
      </c>
      <c r="P87" s="15" t="inlineStr">
        <is>
          <t>À valider</t>
        </is>
      </c>
      <c r="Q87" s="16" t="inlineStr">
        <is>
          <t>Suivi de la cargaison.</t>
        </is>
      </c>
      <c r="R87" s="14" t="inlineStr">
        <is>
          <t>Oui – déclaration douanière</t>
        </is>
      </c>
      <c r="S87" s="15" t="inlineStr">
        <is>
          <t>GAOU7880167</t>
        </is>
      </c>
      <c r="T87" s="15" t="inlineStr">
        <is>
          <t>Restreinte</t>
        </is>
      </c>
      <c r="U87" s="17" t="n">
        <v>46233</v>
      </c>
      <c r="V87" s="15" t="inlineStr">
        <is>
          <t>PF Bénin</t>
        </is>
      </c>
      <c r="W87" s="12" t="inlineStr">
        <is>
          <t>Incohérence entre le manifeste (« cigarettes ») et la déclaration de marchandises (tabac brut HS 2401.20). Vérification recommandée.</t>
        </is>
      </c>
      <c r="X87" s="7" t="n"/>
      <c r="Y87" s="7" t="n"/>
      <c r="Z87" s="7" t="n"/>
    </row>
    <row r="88" ht="15.75" customHeight="1" s="23">
      <c r="A88" s="18" t="inlineStr">
        <is>
          <t>GEI-NIG-2026-041</t>
        </is>
      </c>
      <c r="B88" s="19" t="n">
        <v>46246</v>
      </c>
      <c r="C88" s="15" t="inlineStr">
        <is>
          <t>Point focal Bénin</t>
        </is>
      </c>
      <c r="D88" s="18" t="inlineStr">
        <is>
          <t>Niger</t>
        </is>
      </c>
      <c r="E88" s="18" t="inlineStr">
        <is>
          <t>Konni – Niger</t>
        </is>
      </c>
      <c r="F88" s="12" t="inlineStr">
        <is>
          <t xml:space="preserve">Transit de cigarettes </t>
        </is>
      </c>
      <c r="G88" s="12" t="inlineStr">
        <is>
          <t>Les autorités douanières de Konni auraient abandonné l'orientation antérieure visant la saisie définitive et la destruction des cigarettes stockées sous douane. Les dépositaires auraient été contactés afin de rechercher des pays de destination permettant leur réexportation. Plusieurs dépositaires auraient saisi le Ministère du Commerce cette semaine pour obtenir rapidement des agréments de réexportation. Les nouveaux responsables du bureau des douanes de Konni seraient engagés dans cette démarche.</t>
        </is>
      </c>
      <c r="H88" s="14" t="inlineStr">
        <is>
          <t>Source terrain</t>
        </is>
      </c>
      <c r="I88" s="15" t="inlineStr">
        <is>
          <t>Oui</t>
        </is>
      </c>
      <c r="J88" s="15" t="inlineStr">
        <is>
          <t>A</t>
        </is>
      </c>
      <c r="K88" s="15" t="n">
        <v>1</v>
      </c>
      <c r="L88" s="15" t="inlineStr">
        <is>
          <t>Immédiat</t>
        </is>
      </c>
      <c r="M88" s="15" t="inlineStr">
        <is>
          <t>Élevé</t>
        </is>
      </c>
      <c r="N88" s="15" t="inlineStr">
        <is>
          <t>Archivage</t>
        </is>
      </c>
      <c r="O88" s="15" t="inlineStr">
        <is>
          <t>Clos</t>
        </is>
      </c>
      <c r="P88" s="15" t="inlineStr">
        <is>
          <t>Oui</t>
        </is>
      </c>
      <c r="Q88" s="16" t="inlineStr">
        <is>
          <t>Surveillance du flux</t>
        </is>
      </c>
      <c r="R88" s="14" t="inlineStr">
        <is>
          <t>Oui</t>
        </is>
      </c>
      <c r="S88" s="15" t="n"/>
      <c r="T88" s="15" t="n"/>
      <c r="U88" s="17" t="n">
        <v>46246</v>
      </c>
      <c r="V88" s="15" t="inlineStr">
        <is>
          <t>PF Bénin</t>
        </is>
      </c>
      <c r="W88" s="12" t="inlineStr">
        <is>
          <t>Vérifier auprès des sources disponibles l'évolution de la procédure de réexportation, identifier les dépositaires concernés, les quantités et marques de cigarettes, les pays de destination envisagés ainsi que l'existence des demandes d'agrément auprès du Ministère du Commerce. Vérifier également si l'instruction de saisie/destruction a effectivement été abandonnée.</t>
        </is>
      </c>
      <c r="X88" s="7" t="n"/>
      <c r="Y88" s="7" t="n"/>
      <c r="Z88" s="7" t="n"/>
    </row>
    <row r="89" ht="15.75" customHeight="1" s="23">
      <c r="A89" s="20" t="n"/>
      <c r="B89" s="22" t="n"/>
      <c r="D89" s="20" t="n"/>
      <c r="E89" s="20" t="n"/>
    </row>
    <row r="90" ht="15.75" customHeight="1" s="23">
      <c r="A90" s="20" t="n"/>
      <c r="B90" s="22" t="n"/>
      <c r="D90" s="20" t="n"/>
      <c r="E90" s="20" t="n"/>
    </row>
    <row r="91" ht="15.75" customHeight="1" s="23">
      <c r="A91" s="24" t="inlineStr">
        <is>
          <t>BENIN-2026-08-05</t>
        </is>
      </c>
      <c r="B91" s="22" t="inlineStr">
        <is>
          <t>05/08/2026</t>
        </is>
      </c>
      <c r="C91" t="inlineStr">
        <is>
          <t>Bénin</t>
        </is>
      </c>
      <c r="D91" s="24" t="inlineStr">
        <is>
          <t>Danvidokpo – Ouémé</t>
        </is>
      </c>
      <c r="E91" s="24" t="inlineStr">
        <is>
          <t>Cigarettes hors circuit — 17 800 paquets / 1 780 cartouches / 36 cartons / 351 500 baguettes</t>
        </is>
      </c>
      <c r="F91" t="inlineStr">
        <is>
          <t>Une cargaison de cigarettes hors circuit a été interceptée le 5 août 2026 à Danvidokpo par le SRLCF Ouémé-Plateau. La marchandise était dissimulée dans un camion-benne.</t>
        </is>
      </c>
      <c r="G91" t="inlineStr">
        <is>
          <t>Opérationnelle</t>
        </is>
      </c>
      <c r="H91" t="inlineStr">
        <is>
          <t>Douane béninoise / SRLCF</t>
        </is>
      </c>
      <c r="I91" t="inlineStr"/>
      <c r="J91" t="inlineStr"/>
      <c r="K91" t="inlineStr"/>
      <c r="L91" t="inlineStr"/>
      <c r="M91" t="inlineStr">
        <is>
          <t>Clos</t>
        </is>
      </c>
      <c r="N91" t="inlineStr">
        <is>
          <t>Clôturé</t>
        </is>
      </c>
      <c r="O91" t="inlineStr">
        <is>
          <t>Saisie effectuée. Dossier clos.</t>
        </is>
      </c>
    </row>
    <row r="92" ht="15.75" customHeight="1" s="23">
      <c r="A92" s="24" t="inlineStr">
        <is>
          <t>BENIN-2026-08-06</t>
        </is>
      </c>
      <c r="B92" s="22" t="inlineStr">
        <is>
          <t>06/08/2026</t>
        </is>
      </c>
      <c r="C92" t="inlineStr">
        <is>
          <t>Bénin</t>
        </is>
      </c>
      <c r="D92" s="24" t="inlineStr">
        <is>
          <t>Atacora-Donga</t>
        </is>
      </c>
      <c r="E92" s="24" t="inlineStr">
        <is>
          <t>Cigarettes — 2 060 paquets</t>
        </is>
      </c>
      <c r="F92" t="inlineStr">
        <is>
          <t>2 060 paquets de cigarettes ont été interceptés le 6 août 2026 par le SRLCF Atacora-Donga.</t>
        </is>
      </c>
      <c r="G92" t="inlineStr">
        <is>
          <t>Opérationnelle</t>
        </is>
      </c>
      <c r="H92" t="inlineStr">
        <is>
          <t>Douane béninoise / SRLCF</t>
        </is>
      </c>
      <c r="I92" t="inlineStr"/>
      <c r="J92" t="inlineStr"/>
      <c r="K92" t="inlineStr"/>
      <c r="L92" t="inlineStr"/>
      <c r="M92" t="inlineStr">
        <is>
          <t>Clos</t>
        </is>
      </c>
      <c r="N92" t="inlineStr">
        <is>
          <t>Clôturé</t>
        </is>
      </c>
      <c r="O92" t="inlineStr">
        <is>
          <t>Saisie effectuée. Dossier clos.</t>
        </is>
      </c>
    </row>
    <row r="93" ht="15.75" customHeight="1" s="23"/>
    <row r="94" ht="15.75" customHeight="1" s="23"/>
    <row r="95" ht="15.75" customHeight="1" s="23"/>
    <row r="96" ht="15.75" customHeight="1" s="23"/>
    <row r="97" ht="15.75" customHeight="1" s="23"/>
    <row r="98" ht="15.75" customHeight="1" s="23"/>
    <row r="99" ht="15.75" customHeight="1" s="23"/>
    <row r="100" ht="15.75" customHeight="1" s="23"/>
    <row r="101" ht="15.75" customHeight="1" s="23"/>
    <row r="102" ht="15.75" customHeight="1" s="23"/>
    <row r="103" ht="15.75" customHeight="1" s="23"/>
    <row r="104" ht="15.75" customHeight="1" s="23"/>
    <row r="105" ht="15.75" customHeight="1" s="23"/>
    <row r="106" ht="15.75" customHeight="1" s="23"/>
    <row r="107" ht="15.75" customHeight="1" s="23"/>
    <row r="108" ht="15.75" customHeight="1" s="23"/>
    <row r="109" ht="15.75" customHeight="1" s="23"/>
    <row r="110" ht="15.75" customHeight="1" s="23"/>
    <row r="111" ht="15.75" customHeight="1" s="23"/>
    <row r="112" ht="15.75" customHeight="1" s="23"/>
    <row r="113" ht="15.75" customHeight="1" s="23"/>
    <row r="114" ht="15.75" customHeight="1" s="23"/>
    <row r="115" ht="15.75" customHeight="1" s="23"/>
    <row r="116" ht="15.75" customHeight="1" s="23"/>
    <row r="117" ht="15.75" customHeight="1" s="23"/>
    <row r="118" ht="15.75" customHeight="1" s="23"/>
    <row r="119" ht="15.75" customHeight="1" s="23"/>
    <row r="120" ht="15.75" customHeight="1" s="23"/>
    <row r="121" ht="15.75" customHeight="1" s="23"/>
    <row r="122" ht="15.75" customHeight="1" s="23"/>
    <row r="123" ht="15.75" customHeight="1" s="23"/>
    <row r="124" ht="15.75" customHeight="1" s="23"/>
    <row r="125" ht="15.75" customHeight="1" s="23"/>
    <row r="126" ht="15.75" customHeight="1" s="23"/>
    <row r="127" ht="15.75" customHeight="1" s="23"/>
    <row r="128" ht="15.75" customHeight="1" s="23"/>
    <row r="129" ht="15.75" customHeight="1" s="23"/>
    <row r="130" ht="15.75" customHeight="1" s="23"/>
    <row r="131" ht="15.75" customHeight="1" s="23"/>
    <row r="132" ht="15.75" customHeight="1" s="23"/>
    <row r="133" ht="15.75" customHeight="1" s="23"/>
    <row r="134" ht="15.75" customHeight="1" s="23"/>
    <row r="135" ht="15.75" customHeight="1" s="23"/>
    <row r="136" ht="15.75" customHeight="1" s="23"/>
    <row r="137" ht="15.75" customHeight="1" s="23"/>
    <row r="138" ht="15.75" customHeight="1" s="23"/>
    <row r="139" ht="15.75" customHeight="1" s="23"/>
    <row r="140" ht="15.75" customHeight="1" s="23"/>
    <row r="141" ht="15.75" customHeight="1" s="23"/>
    <row r="142" ht="15.75" customHeight="1" s="23"/>
    <row r="143" ht="15.75" customHeight="1" s="23"/>
    <row r="144" ht="15.75" customHeight="1" s="23"/>
    <row r="145" ht="15.75" customHeight="1" s="23"/>
    <row r="146" ht="15.75" customHeight="1" s="23"/>
    <row r="147" ht="15.75" customHeight="1" s="23"/>
    <row r="148" ht="15.75" customHeight="1" s="23"/>
    <row r="149" ht="15.75" customHeight="1" s="23"/>
    <row r="150" ht="15.75" customHeight="1" s="23"/>
    <row r="151" ht="15.75" customHeight="1" s="23"/>
    <row r="152" ht="15.75" customHeight="1" s="23"/>
    <row r="153" ht="15.75" customHeight="1" s="23"/>
    <row r="154" ht="15.75" customHeight="1" s="23"/>
    <row r="155" ht="15.75" customHeight="1" s="23"/>
    <row r="156" ht="15.75" customHeight="1" s="23"/>
    <row r="157" ht="15.75" customHeight="1" s="23"/>
    <row r="158" ht="15.75" customHeight="1" s="23"/>
    <row r="159" ht="15.75" customHeight="1" s="23"/>
    <row r="160" ht="15.75" customHeight="1" s="23"/>
    <row r="161" ht="15.75" customHeight="1" s="23"/>
    <row r="162" ht="15.75" customHeight="1" s="23"/>
    <row r="163" ht="15.75" customHeight="1" s="23"/>
    <row r="164" ht="15.75" customHeight="1" s="23"/>
    <row r="165" ht="15.75" customHeight="1" s="23"/>
    <row r="166" ht="15.75" customHeight="1" s="23"/>
    <row r="167" ht="15.75" customHeight="1" s="23"/>
    <row r="168" ht="15.75" customHeight="1" s="23"/>
    <row r="169" ht="15.75" customHeight="1" s="23"/>
    <row r="170" ht="15.75" customHeight="1" s="23"/>
    <row r="171" ht="15.75" customHeight="1" s="23"/>
    <row r="172" ht="15.75" customHeight="1" s="23"/>
    <row r="173" ht="15.75" customHeight="1" s="23"/>
    <row r="174" ht="15.75" customHeight="1" s="23"/>
    <row r="175" ht="15.75" customHeight="1" s="23"/>
    <row r="176" ht="15.75" customHeight="1" s="23"/>
    <row r="177" ht="15.75" customHeight="1" s="23"/>
    <row r="178" ht="15.75" customHeight="1" s="23"/>
    <row r="179" ht="15.75" customHeight="1" s="23"/>
    <row r="180" ht="15.75" customHeight="1" s="23"/>
    <row r="181" ht="15.75" customHeight="1" s="23"/>
    <row r="182" ht="15.75" customHeight="1" s="23"/>
    <row r="183" ht="15.75" customHeight="1" s="23"/>
    <row r="184" ht="15.75" customHeight="1" s="23"/>
    <row r="185" ht="15.75" customHeight="1" s="23"/>
    <row r="186" ht="15.75" customHeight="1" s="23"/>
    <row r="187" ht="15.75" customHeight="1" s="23"/>
    <row r="188" ht="15.75" customHeight="1" s="23"/>
    <row r="189" ht="15.75" customHeight="1" s="23"/>
    <row r="190" ht="15.75" customHeight="1" s="23"/>
    <row r="191" ht="15.75" customHeight="1" s="23"/>
    <row r="192" ht="15.75" customHeight="1" s="23"/>
    <row r="193" ht="15.75" customHeight="1" s="23"/>
    <row r="194" ht="15.75" customHeight="1" s="23"/>
    <row r="195" ht="15.75" customHeight="1" s="23"/>
    <row r="196" ht="15.75" customHeight="1" s="23"/>
    <row r="197" ht="15.75" customHeight="1" s="23"/>
    <row r="198" ht="15.75" customHeight="1" s="23"/>
    <row r="199" ht="15.75" customHeight="1" s="23"/>
    <row r="200" ht="15.75" customHeight="1" s="23"/>
    <row r="201" ht="15.75" customHeight="1" s="23"/>
    <row r="202" ht="15.75" customHeight="1" s="23"/>
    <row r="203" ht="15.75" customHeight="1" s="23"/>
    <row r="204" ht="15.75" customHeight="1" s="23"/>
    <row r="205" ht="15.75" customHeight="1" s="23"/>
    <row r="206" ht="15.75" customHeight="1" s="23"/>
    <row r="207" ht="15.75" customHeight="1" s="23"/>
    <row r="208" ht="15.75" customHeight="1" s="23"/>
    <row r="209" ht="15.75" customHeight="1" s="23"/>
    <row r="210" ht="15.75" customHeight="1" s="23"/>
    <row r="211" ht="15.75" customHeight="1" s="23"/>
    <row r="212" ht="15.75" customHeight="1" s="23"/>
    <row r="213" ht="15.75" customHeight="1" s="23"/>
    <row r="214" ht="15.75" customHeight="1" s="23"/>
    <row r="215" ht="15.75" customHeight="1" s="23"/>
    <row r="216" ht="15.75" customHeight="1" s="23"/>
    <row r="217" ht="15.75" customHeight="1" s="23"/>
    <row r="218" ht="15.75" customHeight="1" s="23"/>
    <row r="219" ht="15.75" customHeight="1" s="23"/>
    <row r="220" ht="15.75" customHeight="1" s="23"/>
    <row r="221" ht="15.75" customHeight="1" s="23"/>
    <row r="222" ht="15.75" customHeight="1" s="23"/>
    <row r="223" ht="15.75" customHeight="1" s="23"/>
    <row r="224" ht="15.75" customHeight="1" s="23"/>
    <row r="225" ht="15.75" customHeight="1" s="23"/>
    <row r="226" ht="15.75" customHeight="1" s="23"/>
    <row r="227" ht="15.75" customHeight="1" s="23"/>
    <row r="228" ht="15.75" customHeight="1" s="23"/>
    <row r="229" ht="15.75" customHeight="1" s="23"/>
    <row r="230" ht="15.75" customHeight="1" s="23"/>
    <row r="231" ht="15.75" customHeight="1" s="23"/>
    <row r="232" ht="15.75" customHeight="1" s="23"/>
    <row r="233" ht="15.75" customHeight="1" s="23"/>
    <row r="234" ht="15.75" customHeight="1" s="23"/>
    <row r="235" ht="15.75" customHeight="1" s="23"/>
    <row r="236" ht="15.75" customHeight="1" s="23"/>
    <row r="237" ht="15.75" customHeight="1" s="23"/>
    <row r="238" ht="15.75" customHeight="1" s="23"/>
    <row r="239" ht="15.75" customHeight="1" s="23"/>
    <row r="240" ht="15.75" customHeight="1" s="23"/>
    <row r="241" ht="15.75" customHeight="1" s="23"/>
    <row r="242" ht="15.75" customHeight="1" s="23"/>
    <row r="243" ht="15.75" customHeight="1" s="23"/>
    <row r="244" ht="15.75" customHeight="1" s="23"/>
    <row r="245" ht="15.75" customHeight="1" s="23"/>
    <row r="246" ht="15.75" customHeight="1" s="23"/>
    <row r="247" ht="15.75" customHeight="1" s="23"/>
    <row r="248" ht="15.75" customHeight="1" s="23"/>
    <row r="249" ht="15.75" customHeight="1" s="23"/>
    <row r="250" ht="15.75" customHeight="1" s="23"/>
    <row r="251" ht="15.75" customHeight="1" s="23"/>
    <row r="252" ht="15.75" customHeight="1" s="23"/>
    <row r="253" ht="15.75" customHeight="1" s="23"/>
    <row r="254" ht="15.75" customHeight="1" s="23"/>
    <row r="255" ht="15.75" customHeight="1" s="23"/>
    <row r="256" ht="15.75" customHeight="1" s="23"/>
    <row r="257" ht="15.75" customHeight="1" s="23"/>
    <row r="258" ht="15.75" customHeight="1" s="23"/>
    <row r="259" ht="15.75" customHeight="1" s="23"/>
    <row r="260" ht="15.75" customHeight="1" s="23"/>
    <row r="261" ht="15.75" customHeight="1" s="23"/>
    <row r="262" ht="15.75" customHeight="1" s="23"/>
    <row r="263" ht="15.75" customHeight="1" s="23"/>
    <row r="264" ht="15.75" customHeight="1" s="23"/>
    <row r="265" ht="15.75" customHeight="1" s="23"/>
    <row r="266" ht="15.75" customHeight="1" s="23"/>
    <row r="267" ht="15.75" customHeight="1" s="23"/>
    <row r="268" ht="15.75" customHeight="1" s="23"/>
    <row r="269" ht="15.75" customHeight="1" s="23"/>
    <row r="270" ht="15.75" customHeight="1" s="23"/>
    <row r="271" ht="15.75" customHeight="1" s="23"/>
    <row r="272" ht="15.75" customHeight="1" s="23"/>
    <row r="273" ht="15.75" customHeight="1" s="23"/>
    <row r="274" ht="15.75" customHeight="1" s="23"/>
    <row r="275" ht="15.75" customHeight="1" s="23"/>
    <row r="276" ht="15.75" customHeight="1" s="23"/>
    <row r="277" ht="15.75" customHeight="1" s="23"/>
    <row r="278" ht="15.75" customHeight="1" s="23"/>
    <row r="279" ht="15.75" customHeight="1" s="23"/>
    <row r="280" ht="15.75" customHeight="1" s="23"/>
    <row r="281" ht="15.75" customHeight="1" s="23"/>
    <row r="282" ht="15.75" customHeight="1" s="23"/>
    <row r="283" ht="15.75" customHeight="1" s="23"/>
    <row r="284" ht="15.75" customHeight="1" s="23"/>
    <row r="285" ht="15.75" customHeight="1" s="23"/>
    <row r="286" ht="15.75" customHeight="1" s="23"/>
    <row r="287" ht="15.75" customHeight="1" s="23"/>
    <row r="288" ht="15.75" customHeight="1" s="23"/>
    <row r="289" ht="15.75" customHeight="1" s="23"/>
    <row r="290" ht="15.75" customHeight="1" s="23"/>
    <row r="291" ht="15.75" customHeight="1" s="23"/>
    <row r="292" ht="15.75" customHeight="1" s="23"/>
    <row r="293" ht="15.75" customHeight="1" s="23"/>
    <row r="294" ht="15.75" customHeight="1" s="23"/>
    <row r="295" ht="15.75" customHeight="1" s="23"/>
    <row r="296" ht="15.75" customHeight="1" s="23"/>
    <row r="297" ht="15.75" customHeight="1" s="23"/>
    <row r="298" ht="15.75" customHeight="1" s="23"/>
    <row r="299" ht="15.75" customHeight="1" s="23"/>
    <row r="300" ht="15.75" customHeight="1" s="23"/>
    <row r="301" ht="15.75" customHeight="1" s="23"/>
    <row r="302" ht="15.75" customHeight="1" s="23"/>
    <row r="303" ht="15.75" customHeight="1" s="23"/>
    <row r="304" ht="15.75" customHeight="1" s="23"/>
    <row r="305" ht="15.75" customHeight="1" s="23"/>
    <row r="306" ht="15.75" customHeight="1" s="23"/>
    <row r="307" ht="15.75" customHeight="1" s="23"/>
    <row r="308" ht="15.75" customHeight="1" s="23"/>
    <row r="309" ht="15.75" customHeight="1" s="23"/>
    <row r="310" ht="15.75" customHeight="1" s="23"/>
    <row r="311" ht="15.75" customHeight="1" s="23"/>
    <row r="312" ht="15.75" customHeight="1" s="23"/>
    <row r="313" ht="15.75" customHeight="1" s="23"/>
    <row r="314" ht="15.75" customHeight="1" s="23"/>
    <row r="315" ht="15.75" customHeight="1" s="23"/>
    <row r="316" ht="15.75" customHeight="1" s="23"/>
    <row r="317" ht="15.75" customHeight="1" s="23"/>
    <row r="318" ht="15.75" customHeight="1" s="23"/>
    <row r="319" ht="15.75" customHeight="1" s="23"/>
    <row r="320" ht="15.75" customHeight="1" s="23"/>
    <row r="321" ht="15.75" customHeight="1" s="23"/>
    <row r="322" ht="15.75" customHeight="1" s="23"/>
    <row r="323" ht="15.75" customHeight="1" s="23"/>
    <row r="324" ht="15.75" customHeight="1" s="23"/>
    <row r="325" ht="15.75" customHeight="1" s="23"/>
    <row r="326" ht="15.75" customHeight="1" s="23"/>
    <row r="327" ht="15.75" customHeight="1" s="23"/>
    <row r="328" ht="15.75" customHeight="1" s="23"/>
    <row r="329" ht="15.75" customHeight="1" s="23"/>
    <row r="330" ht="15.75" customHeight="1" s="23"/>
    <row r="331" ht="15.75" customHeight="1" s="23"/>
    <row r="332" ht="15.75" customHeight="1" s="23"/>
    <row r="333" ht="15.75" customHeight="1" s="23"/>
    <row r="334" ht="15.75" customHeight="1" s="23"/>
    <row r="335" ht="15.75" customHeight="1" s="23"/>
    <row r="336" ht="15.75" customHeight="1" s="23"/>
    <row r="337" ht="15.75" customHeight="1" s="23"/>
    <row r="338" ht="15.75" customHeight="1" s="23"/>
    <row r="339" ht="15.75" customHeight="1" s="23"/>
    <row r="340" ht="15.75" customHeight="1" s="23"/>
    <row r="341" ht="15.75" customHeight="1" s="23"/>
    <row r="342" ht="15.75" customHeight="1" s="23"/>
    <row r="343" ht="15.75" customHeight="1" s="23"/>
    <row r="344" ht="15.75" customHeight="1" s="23"/>
    <row r="345" ht="15.75" customHeight="1" s="23"/>
    <row r="346" ht="15.75" customHeight="1" s="23"/>
    <row r="347" ht="15.75" customHeight="1" s="23"/>
    <row r="348" ht="15.75" customHeight="1" s="23"/>
    <row r="349" ht="15.75" customHeight="1" s="23"/>
    <row r="350" ht="15.75" customHeight="1" s="23"/>
    <row r="351" ht="15.75" customHeight="1" s="23"/>
    <row r="352" ht="15.75" customHeight="1" s="23"/>
    <row r="353" ht="15.75" customHeight="1" s="23"/>
    <row r="354" ht="15.75" customHeight="1" s="23"/>
    <row r="355" ht="15.75" customHeight="1" s="23"/>
    <row r="356" ht="15.75" customHeight="1" s="23"/>
    <row r="357" ht="15.75" customHeight="1" s="23"/>
    <row r="358" ht="15.75" customHeight="1" s="23"/>
    <row r="359" ht="15.75" customHeight="1" s="23"/>
    <row r="360" ht="15.75" customHeight="1" s="23"/>
    <row r="361" ht="15.75" customHeight="1" s="23"/>
    <row r="362" ht="15.75" customHeight="1" s="23"/>
    <row r="363" ht="15.75" customHeight="1" s="23"/>
    <row r="364" ht="15.75" customHeight="1" s="23"/>
    <row r="365" ht="15.75" customHeight="1" s="23"/>
    <row r="366" ht="15.75" customHeight="1" s="23"/>
    <row r="367" ht="15.75" customHeight="1" s="23"/>
    <row r="368" ht="15.75" customHeight="1" s="23"/>
    <row r="369" ht="15.75" customHeight="1" s="23"/>
    <row r="370" ht="15.75" customHeight="1" s="23"/>
    <row r="371" ht="15.75" customHeight="1" s="23"/>
    <row r="372" ht="15.75" customHeight="1" s="23"/>
    <row r="373" ht="15.75" customHeight="1" s="23"/>
    <row r="374" ht="15.75" customHeight="1" s="23"/>
    <row r="375" ht="15.75" customHeight="1" s="23"/>
    <row r="376" ht="15.75" customHeight="1" s="23"/>
    <row r="377" ht="15.75" customHeight="1" s="23"/>
    <row r="378" ht="15.75" customHeight="1" s="23"/>
    <row r="379" ht="15.75" customHeight="1" s="23"/>
    <row r="380" ht="15.75" customHeight="1" s="23"/>
    <row r="381" ht="15.75" customHeight="1" s="23"/>
    <row r="382" ht="15.75" customHeight="1" s="23"/>
    <row r="383" ht="15.75" customHeight="1" s="23"/>
    <row r="384" ht="15.75" customHeight="1" s="23"/>
    <row r="385" ht="15.75" customHeight="1" s="23"/>
    <row r="386" ht="15.75" customHeight="1" s="23"/>
    <row r="387" ht="15.75" customHeight="1" s="23"/>
    <row r="388" ht="15.75" customHeight="1" s="23"/>
    <row r="389" ht="15.75" customHeight="1" s="23"/>
    <row r="390" ht="15.75" customHeight="1" s="23"/>
    <row r="391" ht="15.75" customHeight="1" s="23"/>
    <row r="392" ht="15.75" customHeight="1" s="23"/>
    <row r="393" ht="15.75" customHeight="1" s="23"/>
    <row r="394" ht="15.75" customHeight="1" s="23"/>
    <row r="395" ht="15.75" customHeight="1" s="23"/>
    <row r="396" ht="15.75" customHeight="1" s="23"/>
    <row r="397" ht="15.75" customHeight="1" s="23"/>
    <row r="398" ht="15.75" customHeight="1" s="23"/>
    <row r="399" ht="15.75" customHeight="1" s="23"/>
    <row r="400" ht="15.75" customHeight="1" s="23"/>
    <row r="401" ht="15.75" customHeight="1" s="23"/>
    <row r="402" ht="15.75" customHeight="1" s="23"/>
    <row r="403" ht="15.75" customHeight="1" s="23"/>
    <row r="404" ht="15.75" customHeight="1" s="23"/>
    <row r="405" ht="15.75" customHeight="1" s="23"/>
    <row r="406" ht="15.75" customHeight="1" s="23"/>
    <row r="407" ht="15.75" customHeight="1" s="23"/>
    <row r="408" ht="15.75" customHeight="1" s="23"/>
    <row r="409" ht="15.75" customHeight="1" s="23"/>
    <row r="410" ht="15.75" customHeight="1" s="23"/>
    <row r="411" ht="15.75" customHeight="1" s="23"/>
    <row r="412" ht="15.75" customHeight="1" s="23"/>
    <row r="413" ht="15.75" customHeight="1" s="23"/>
    <row r="414" ht="15.75" customHeight="1" s="23"/>
    <row r="415" ht="15.75" customHeight="1" s="23"/>
    <row r="416" ht="15.75" customHeight="1" s="23"/>
    <row r="417" ht="15.75" customHeight="1" s="23"/>
    <row r="418" ht="15.75" customHeight="1" s="23"/>
    <row r="419" ht="15.75" customHeight="1" s="23"/>
    <row r="420" ht="15.75" customHeight="1" s="23"/>
    <row r="421" ht="15.75" customHeight="1" s="23"/>
    <row r="422" ht="15.75" customHeight="1" s="23"/>
    <row r="423" ht="15.75" customHeight="1" s="23"/>
    <row r="424" ht="15.75" customHeight="1" s="23"/>
    <row r="425" ht="15.75" customHeight="1" s="23"/>
    <row r="426" ht="15.75" customHeight="1" s="23"/>
    <row r="427" ht="15.75" customHeight="1" s="23"/>
    <row r="428" ht="15.75" customHeight="1" s="23"/>
    <row r="429" ht="15.75" customHeight="1" s="23"/>
    <row r="430" ht="15.75" customHeight="1" s="23"/>
    <row r="431" ht="15.75" customHeight="1" s="23"/>
    <row r="432" ht="15.75" customHeight="1" s="23"/>
    <row r="433" ht="15.75" customHeight="1" s="23"/>
    <row r="434" ht="15.75" customHeight="1" s="23"/>
    <row r="435" ht="15.75" customHeight="1" s="23"/>
    <row r="436" ht="15.75" customHeight="1" s="23"/>
    <row r="437" ht="15.75" customHeight="1" s="23"/>
    <row r="438" ht="15.75" customHeight="1" s="23"/>
    <row r="439" ht="15.75" customHeight="1" s="23"/>
    <row r="440" ht="15.75" customHeight="1" s="23"/>
    <row r="441" ht="15.75" customHeight="1" s="23"/>
    <row r="442" ht="15.75" customHeight="1" s="23"/>
    <row r="443" ht="15.75" customHeight="1" s="23"/>
    <row r="444" ht="15.75" customHeight="1" s="23"/>
    <row r="445" ht="15.75" customHeight="1" s="23"/>
    <row r="446" ht="15.75" customHeight="1" s="23"/>
    <row r="447" ht="15.75" customHeight="1" s="23"/>
    <row r="448" ht="15.75" customHeight="1" s="23"/>
    <row r="449" ht="15.75" customHeight="1" s="23"/>
    <row r="450" ht="15.75" customHeight="1" s="23"/>
    <row r="451" ht="15.75" customHeight="1" s="23"/>
    <row r="452" ht="15.75" customHeight="1" s="23"/>
    <row r="453" ht="15.75" customHeight="1" s="23"/>
    <row r="454" ht="15.75" customHeight="1" s="23"/>
    <row r="455" ht="15.75" customHeight="1" s="23"/>
    <row r="456" ht="15.75" customHeight="1" s="23"/>
    <row r="457" ht="15.75" customHeight="1" s="23"/>
    <row r="458" ht="15.75" customHeight="1" s="23"/>
    <row r="459" ht="15.75" customHeight="1" s="23"/>
    <row r="460" ht="15.75" customHeight="1" s="23"/>
    <row r="461" ht="15.75" customHeight="1" s="23"/>
    <row r="462" ht="15.75" customHeight="1" s="23"/>
    <row r="463" ht="15.75" customHeight="1" s="23"/>
    <row r="464" ht="15.75" customHeight="1" s="23"/>
    <row r="465" ht="15.75" customHeight="1" s="23"/>
    <row r="466" ht="15.75" customHeight="1" s="23"/>
    <row r="467" ht="15.75" customHeight="1" s="23"/>
    <row r="468" ht="15.75" customHeight="1" s="23"/>
    <row r="469" ht="15.75" customHeight="1" s="23"/>
    <row r="470" ht="15.75" customHeight="1" s="23"/>
    <row r="471" ht="15.75" customHeight="1" s="23"/>
    <row r="472" ht="15.75" customHeight="1" s="23"/>
    <row r="473" ht="15.75" customHeight="1" s="23"/>
    <row r="474" ht="15.75" customHeight="1" s="23"/>
    <row r="475" ht="15.75" customHeight="1" s="23"/>
    <row r="476" ht="15.75" customHeight="1" s="23"/>
    <row r="477" ht="15.75" customHeight="1" s="23"/>
    <row r="478" ht="15.75" customHeight="1" s="23"/>
    <row r="479" ht="15.75" customHeight="1" s="23"/>
    <row r="480" ht="15.75" customHeight="1" s="23"/>
    <row r="481" ht="15.75" customHeight="1" s="23"/>
    <row r="482" ht="15.75" customHeight="1" s="23"/>
    <row r="483" ht="15.75" customHeight="1" s="23"/>
    <row r="484" ht="15.75" customHeight="1" s="23"/>
    <row r="485" ht="15.75" customHeight="1" s="23"/>
    <row r="486" ht="15.75" customHeight="1" s="23"/>
    <row r="487" ht="15.75" customHeight="1" s="23"/>
    <row r="488" ht="15.75" customHeight="1" s="23"/>
    <row r="489" ht="15.75" customHeight="1" s="23"/>
    <row r="490" ht="15.75" customHeight="1" s="23"/>
    <row r="491" ht="15.75" customHeight="1" s="23"/>
    <row r="492" ht="15.75" customHeight="1" s="23"/>
    <row r="493" ht="15.75" customHeight="1" s="23"/>
    <row r="494" ht="15.75" customHeight="1" s="23"/>
    <row r="495" ht="15.75" customHeight="1" s="23"/>
    <row r="496" ht="15.75" customHeight="1" s="23"/>
    <row r="497" ht="15.75" customHeight="1" s="23"/>
    <row r="498" ht="15.75" customHeight="1" s="23"/>
    <row r="499" ht="15.75" customHeight="1" s="23"/>
    <row r="500" ht="15.75" customHeight="1" s="23"/>
    <row r="501" ht="15.75" customHeight="1" s="23"/>
    <row r="502" ht="15.75" customHeight="1" s="23"/>
    <row r="503" ht="15.75" customHeight="1" s="23"/>
    <row r="504" ht="15.75" customHeight="1" s="23"/>
    <row r="505" ht="15.75" customHeight="1" s="23"/>
    <row r="506" ht="15.75" customHeight="1" s="23"/>
    <row r="507" ht="15.75" customHeight="1" s="23"/>
    <row r="508" ht="15.75" customHeight="1" s="23"/>
    <row r="509" ht="15.75" customHeight="1" s="23"/>
    <row r="510" ht="15.75" customHeight="1" s="23"/>
    <row r="511" ht="15.75" customHeight="1" s="23"/>
    <row r="512" ht="15.75" customHeight="1" s="23"/>
    <row r="513" ht="15.75" customHeight="1" s="23"/>
    <row r="514" ht="15.75" customHeight="1" s="23"/>
    <row r="515" ht="15.75" customHeight="1" s="23"/>
    <row r="516" ht="15.75" customHeight="1" s="23"/>
    <row r="517" ht="15.75" customHeight="1" s="23"/>
    <row r="518" ht="15.75" customHeight="1" s="23"/>
    <row r="519" ht="15.75" customHeight="1" s="23"/>
    <row r="520" ht="15.75" customHeight="1" s="23"/>
    <row r="521" ht="15.75" customHeight="1" s="23"/>
    <row r="522" ht="15.75" customHeight="1" s="23"/>
    <row r="523" ht="15.75" customHeight="1" s="23"/>
    <row r="524" ht="15.75" customHeight="1" s="23"/>
    <row r="525" ht="15.75" customHeight="1" s="23"/>
    <row r="526" ht="15.75" customHeight="1" s="23"/>
    <row r="527" ht="15.75" customHeight="1" s="23"/>
    <row r="528" ht="15.75" customHeight="1" s="23"/>
    <row r="529" ht="15.75" customHeight="1" s="23"/>
    <row r="530" ht="15.75" customHeight="1" s="23"/>
    <row r="531" ht="15.75" customHeight="1" s="23"/>
    <row r="532" ht="15.75" customHeight="1" s="23"/>
    <row r="533" ht="15.75" customHeight="1" s="23"/>
    <row r="534" ht="15.75" customHeight="1" s="23"/>
    <row r="535" ht="15.75" customHeight="1" s="23"/>
    <row r="536" ht="15.75" customHeight="1" s="23"/>
    <row r="537" ht="15.75" customHeight="1" s="23"/>
    <row r="538" ht="15.75" customHeight="1" s="23"/>
    <row r="539" ht="15.75" customHeight="1" s="23"/>
    <row r="540" ht="15.75" customHeight="1" s="23"/>
    <row r="541" ht="15.75" customHeight="1" s="23"/>
    <row r="542" ht="15.75" customHeight="1" s="23"/>
    <row r="543" ht="15.75" customHeight="1" s="23"/>
    <row r="544" ht="15.75" customHeight="1" s="23"/>
    <row r="545" ht="15.75" customHeight="1" s="23"/>
    <row r="546" ht="15.75" customHeight="1" s="23"/>
    <row r="547" ht="15.75" customHeight="1" s="23"/>
    <row r="548" ht="15.75" customHeight="1" s="23"/>
    <row r="549" ht="15.75" customHeight="1" s="23"/>
    <row r="550" ht="15.75" customHeight="1" s="23"/>
    <row r="551" ht="15.75" customHeight="1" s="23"/>
    <row r="552" ht="15.75" customHeight="1" s="23"/>
    <row r="553" ht="15.75" customHeight="1" s="23"/>
    <row r="554" ht="15.75" customHeight="1" s="23"/>
    <row r="555" ht="15.75" customHeight="1" s="23"/>
    <row r="556" ht="15.75" customHeight="1" s="23"/>
    <row r="557" ht="15.75" customHeight="1" s="23"/>
    <row r="558" ht="15.75" customHeight="1" s="23"/>
    <row r="559" ht="15.75" customHeight="1" s="23"/>
    <row r="560" ht="15.75" customHeight="1" s="23"/>
    <row r="561" ht="15.75" customHeight="1" s="23"/>
    <row r="562" ht="15.75" customHeight="1" s="23"/>
    <row r="563" ht="15.75" customHeight="1" s="23"/>
    <row r="564" ht="15.75" customHeight="1" s="23"/>
    <row r="565" ht="15.75" customHeight="1" s="23"/>
    <row r="566" ht="15.75" customHeight="1" s="23"/>
    <row r="567" ht="15.75" customHeight="1" s="23"/>
    <row r="568" ht="15.75" customHeight="1" s="23"/>
    <row r="569" ht="15.75" customHeight="1" s="23"/>
    <row r="570" ht="15.75" customHeight="1" s="23"/>
    <row r="571" ht="15.75" customHeight="1" s="23"/>
    <row r="572" ht="15.75" customHeight="1" s="23"/>
    <row r="573" ht="15.75" customHeight="1" s="23"/>
    <row r="574" ht="15.75" customHeight="1" s="23"/>
    <row r="575" ht="15.75" customHeight="1" s="23"/>
    <row r="576" ht="15.75" customHeight="1" s="23"/>
    <row r="577" ht="15.75" customHeight="1" s="23"/>
    <row r="578" ht="15.75" customHeight="1" s="23"/>
    <row r="579" ht="15.75" customHeight="1" s="23"/>
    <row r="580" ht="15.75" customHeight="1" s="23"/>
    <row r="581" ht="15.75" customHeight="1" s="23"/>
    <row r="582" ht="15.75" customHeight="1" s="23"/>
    <row r="583" ht="15.75" customHeight="1" s="23"/>
    <row r="584" ht="15.75" customHeight="1" s="23"/>
    <row r="585" ht="15.75" customHeight="1" s="23"/>
    <row r="586" ht="15.75" customHeight="1" s="23"/>
    <row r="587" ht="15.75" customHeight="1" s="23"/>
    <row r="588" ht="15.75" customHeight="1" s="23"/>
    <row r="589" ht="15.75" customHeight="1" s="23"/>
    <row r="590" ht="15.75" customHeight="1" s="23"/>
    <row r="591" ht="15.75" customHeight="1" s="23"/>
    <row r="592" ht="15.75" customHeight="1" s="23"/>
    <row r="593" ht="15.75" customHeight="1" s="23"/>
    <row r="594" ht="15.75" customHeight="1" s="23"/>
    <row r="595" ht="15.75" customHeight="1" s="23"/>
    <row r="596" ht="15.75" customHeight="1" s="23"/>
    <row r="597" ht="15.75" customHeight="1" s="23"/>
    <row r="598" ht="15.75" customHeight="1" s="23"/>
    <row r="599" ht="15.75" customHeight="1" s="23"/>
    <row r="600" ht="15.75" customHeight="1" s="23"/>
    <row r="601" ht="15.75" customHeight="1" s="23"/>
    <row r="602" ht="15.75" customHeight="1" s="23"/>
    <row r="603" ht="15.75" customHeight="1" s="23"/>
    <row r="604" ht="15.75" customHeight="1" s="23"/>
    <row r="605" ht="15.75" customHeight="1" s="23"/>
    <row r="606" ht="15.75" customHeight="1" s="23"/>
    <row r="607" ht="15.75" customHeight="1" s="23"/>
    <row r="608" ht="15.75" customHeight="1" s="23"/>
    <row r="609" ht="15.75" customHeight="1" s="23"/>
    <row r="610" ht="15.75" customHeight="1" s="23"/>
    <row r="611" ht="15.75" customHeight="1" s="23"/>
    <row r="612" ht="15.75" customHeight="1" s="23"/>
    <row r="613" ht="15.75" customHeight="1" s="23"/>
    <row r="614" ht="15.75" customHeight="1" s="23"/>
    <row r="615" ht="15.75" customHeight="1" s="23"/>
    <row r="616" ht="15.75" customHeight="1" s="23"/>
    <row r="617" ht="15.75" customHeight="1" s="23"/>
    <row r="618" ht="15.75" customHeight="1" s="23"/>
    <row r="619" ht="15.75" customHeight="1" s="23"/>
    <row r="620" ht="15.75" customHeight="1" s="23"/>
    <row r="621" ht="15.75" customHeight="1" s="23"/>
    <row r="622" ht="15.75" customHeight="1" s="23"/>
    <row r="623" ht="15.75" customHeight="1" s="23"/>
    <row r="624" ht="15.75" customHeight="1" s="23"/>
    <row r="625" ht="15.75" customHeight="1" s="23"/>
    <row r="626" ht="15.75" customHeight="1" s="23"/>
    <row r="627" ht="15.75" customHeight="1" s="23"/>
    <row r="628" ht="15.75" customHeight="1" s="23"/>
    <row r="629" ht="15.75" customHeight="1" s="23"/>
    <row r="630" ht="15.75" customHeight="1" s="23"/>
    <row r="631" ht="15.75" customHeight="1" s="23"/>
    <row r="632" ht="15.75" customHeight="1" s="23"/>
    <row r="633" ht="15.75" customHeight="1" s="23"/>
    <row r="634" ht="15.75" customHeight="1" s="23"/>
    <row r="635" ht="15.75" customHeight="1" s="23"/>
    <row r="636" ht="15.75" customHeight="1" s="23"/>
    <row r="637" ht="15.75" customHeight="1" s="23"/>
    <row r="638" ht="15.75" customHeight="1" s="23"/>
    <row r="639" ht="15.75" customHeight="1" s="23"/>
    <row r="640" ht="15.75" customHeight="1" s="23"/>
    <row r="641" ht="15.75" customHeight="1" s="23"/>
    <row r="642" ht="15.75" customHeight="1" s="23"/>
    <row r="643" ht="15.75" customHeight="1" s="23"/>
    <row r="644" ht="15.75" customHeight="1" s="23"/>
    <row r="645" ht="15.75" customHeight="1" s="23"/>
    <row r="646" ht="15.75" customHeight="1" s="23"/>
    <row r="647" ht="15.75" customHeight="1" s="23"/>
    <row r="648" ht="15.75" customHeight="1" s="23"/>
    <row r="649" ht="15.75" customHeight="1" s="23"/>
    <row r="650" ht="15.75" customHeight="1" s="23"/>
    <row r="651" ht="15.75" customHeight="1" s="23"/>
    <row r="652" ht="15.75" customHeight="1" s="23"/>
    <row r="653" ht="15.75" customHeight="1" s="23"/>
    <row r="654" ht="15.75" customHeight="1" s="23"/>
    <row r="655" ht="15.75" customHeight="1" s="23"/>
    <row r="656" ht="15.75" customHeight="1" s="23"/>
    <row r="657" ht="15.75" customHeight="1" s="23"/>
    <row r="658" ht="15.75" customHeight="1" s="23"/>
    <row r="659" ht="15.75" customHeight="1" s="23"/>
    <row r="660" ht="15.75" customHeight="1" s="23"/>
    <row r="661" ht="15.75" customHeight="1" s="23"/>
    <row r="662" ht="15.75" customHeight="1" s="23"/>
    <row r="663" ht="15.75" customHeight="1" s="23"/>
    <row r="664" ht="15.75" customHeight="1" s="23"/>
    <row r="665" ht="15.75" customHeight="1" s="23"/>
    <row r="666" ht="15.75" customHeight="1" s="23"/>
    <row r="667" ht="15.75" customHeight="1" s="23"/>
    <row r="668" ht="15.75" customHeight="1" s="23"/>
    <row r="669" ht="15.75" customHeight="1" s="23"/>
    <row r="670" ht="15.75" customHeight="1" s="23"/>
    <row r="671" ht="15.75" customHeight="1" s="23"/>
    <row r="672" ht="15.75" customHeight="1" s="23"/>
    <row r="673" ht="15.75" customHeight="1" s="23"/>
    <row r="674" ht="15.75" customHeight="1" s="23"/>
    <row r="675" ht="15.75" customHeight="1" s="23"/>
    <row r="676" ht="15.75" customHeight="1" s="23"/>
    <row r="677" ht="15.75" customHeight="1" s="23"/>
    <row r="678" ht="15.75" customHeight="1" s="23"/>
    <row r="679" ht="15.75" customHeight="1" s="23"/>
    <row r="680" ht="15.75" customHeight="1" s="23"/>
    <row r="681" ht="15.75" customHeight="1" s="23"/>
    <row r="682" ht="15.75" customHeight="1" s="23"/>
    <row r="683" ht="15.75" customHeight="1" s="23"/>
    <row r="684" ht="15.75" customHeight="1" s="23"/>
    <row r="685" ht="15.75" customHeight="1" s="23"/>
    <row r="686" ht="15.75" customHeight="1" s="23"/>
    <row r="687" ht="15.75" customHeight="1" s="23"/>
    <row r="688" ht="15.75" customHeight="1" s="23"/>
    <row r="689" ht="15.75" customHeight="1" s="23"/>
    <row r="690" ht="15.75" customHeight="1" s="23"/>
    <row r="691" ht="15.75" customHeight="1" s="23"/>
    <row r="692" ht="15.75" customHeight="1" s="23"/>
    <row r="693" ht="15.75" customHeight="1" s="23"/>
    <row r="694" ht="15.75" customHeight="1" s="23"/>
    <row r="695" ht="15.75" customHeight="1" s="23"/>
    <row r="696" ht="15.75" customHeight="1" s="23"/>
    <row r="697" ht="15.75" customHeight="1" s="23"/>
    <row r="698" ht="15.75" customHeight="1" s="23"/>
    <row r="699" ht="15.75" customHeight="1" s="23"/>
    <row r="700" ht="15.75" customHeight="1" s="23"/>
    <row r="701" ht="15.75" customHeight="1" s="23"/>
    <row r="702" ht="15.75" customHeight="1" s="23"/>
    <row r="703" ht="15.75" customHeight="1" s="23"/>
    <row r="704" ht="15.75" customHeight="1" s="23"/>
    <row r="705" ht="15.75" customHeight="1" s="23"/>
    <row r="706" ht="15.75" customHeight="1" s="23"/>
    <row r="707" ht="15.75" customHeight="1" s="23"/>
    <row r="708" ht="15.75" customHeight="1" s="23"/>
    <row r="709" ht="15.75" customHeight="1" s="23"/>
    <row r="710" ht="15.75" customHeight="1" s="23"/>
    <row r="711" ht="15.75" customHeight="1" s="23"/>
    <row r="712" ht="15.75" customHeight="1" s="23"/>
    <row r="713" ht="15.75" customHeight="1" s="23"/>
    <row r="714" ht="15.75" customHeight="1" s="23"/>
    <row r="715" ht="15.75" customHeight="1" s="23"/>
    <row r="716" ht="15.75" customHeight="1" s="23"/>
    <row r="717" ht="15.75" customHeight="1" s="23"/>
    <row r="718" ht="15.75" customHeight="1" s="23"/>
    <row r="719" ht="15.75" customHeight="1" s="23"/>
    <row r="720" ht="15.75" customHeight="1" s="23"/>
    <row r="721" ht="15.75" customHeight="1" s="23"/>
    <row r="722" ht="15.75" customHeight="1" s="23"/>
    <row r="723" ht="15.75" customHeight="1" s="23"/>
    <row r="724" ht="15.75" customHeight="1" s="23"/>
    <row r="725" ht="15.75" customHeight="1" s="23"/>
    <row r="726" ht="15.75" customHeight="1" s="23"/>
    <row r="727" ht="15.75" customHeight="1" s="23"/>
    <row r="728" ht="15.75" customHeight="1" s="23"/>
    <row r="729" ht="15.75" customHeight="1" s="23"/>
    <row r="730" ht="15.75" customHeight="1" s="23"/>
    <row r="731" ht="15.75" customHeight="1" s="23"/>
    <row r="732" ht="15.75" customHeight="1" s="23"/>
    <row r="733" ht="15.75" customHeight="1" s="23"/>
    <row r="734" ht="15.75" customHeight="1" s="23"/>
    <row r="735" ht="15.75" customHeight="1" s="23"/>
    <row r="736" ht="15.75" customHeight="1" s="23"/>
    <row r="737" ht="15.75" customHeight="1" s="23"/>
    <row r="738" ht="15.75" customHeight="1" s="23"/>
    <row r="739" ht="15.75" customHeight="1" s="23"/>
    <row r="740" ht="15.75" customHeight="1" s="23"/>
    <row r="741" ht="15.75" customHeight="1" s="23"/>
    <row r="742" ht="15.75" customHeight="1" s="23"/>
    <row r="743" ht="15.75" customHeight="1" s="23"/>
    <row r="744" ht="15.75" customHeight="1" s="23"/>
    <row r="745" ht="15.75" customHeight="1" s="23"/>
    <row r="746" ht="15.75" customHeight="1" s="23"/>
    <row r="747" ht="15.75" customHeight="1" s="23"/>
    <row r="748" ht="15.75" customHeight="1" s="23"/>
    <row r="749" ht="15.75" customHeight="1" s="23"/>
    <row r="750" ht="15.75" customHeight="1" s="23"/>
    <row r="751" ht="15.75" customHeight="1" s="23"/>
    <row r="752" ht="15.75" customHeight="1" s="23"/>
    <row r="753" ht="15.75" customHeight="1" s="23"/>
    <row r="754" ht="15.75" customHeight="1" s="23"/>
    <row r="755" ht="15.75" customHeight="1" s="23"/>
    <row r="756" ht="15.75" customHeight="1" s="23"/>
    <row r="757" ht="15.75" customHeight="1" s="23"/>
    <row r="758" ht="15.75" customHeight="1" s="23"/>
    <row r="759" ht="15.75" customHeight="1" s="23"/>
    <row r="760" ht="15.75" customHeight="1" s="23"/>
    <row r="761" ht="15.75" customHeight="1" s="23"/>
    <row r="762" ht="15.75" customHeight="1" s="23"/>
    <row r="763" ht="15.75" customHeight="1" s="23"/>
    <row r="764" ht="15.75" customHeight="1" s="23"/>
    <row r="765" ht="15.75" customHeight="1" s="23"/>
    <row r="766" ht="15.75" customHeight="1" s="23"/>
    <row r="767" ht="15.75" customHeight="1" s="23"/>
    <row r="768" ht="15.75" customHeight="1" s="23"/>
    <row r="769" ht="15.75" customHeight="1" s="23"/>
    <row r="770" ht="15.75" customHeight="1" s="23"/>
    <row r="771" ht="15.75" customHeight="1" s="23"/>
    <row r="772" ht="15.75" customHeight="1" s="23"/>
    <row r="773" ht="15.75" customHeight="1" s="23"/>
    <row r="774" ht="15.75" customHeight="1" s="23"/>
    <row r="775" ht="15.75" customHeight="1" s="23"/>
    <row r="776" ht="15.75" customHeight="1" s="23"/>
    <row r="777" ht="15.75" customHeight="1" s="23"/>
    <row r="778" ht="15.75" customHeight="1" s="23"/>
    <row r="779" ht="15.75" customHeight="1" s="23"/>
    <row r="780" ht="15.75" customHeight="1" s="23"/>
    <row r="781" ht="15.75" customHeight="1" s="23"/>
    <row r="782" ht="15.75" customHeight="1" s="23"/>
    <row r="783" ht="15.75" customHeight="1" s="23"/>
    <row r="784" ht="15.75" customHeight="1" s="23"/>
    <row r="785" ht="15.75" customHeight="1" s="23"/>
    <row r="786" ht="15.75" customHeight="1" s="23"/>
    <row r="787" ht="15.75" customHeight="1" s="23"/>
    <row r="788" ht="15.75" customHeight="1" s="23"/>
    <row r="789" ht="15.75" customHeight="1" s="23"/>
    <row r="790" ht="15.75" customHeight="1" s="23"/>
    <row r="791" ht="15.75" customHeight="1" s="23"/>
    <row r="792" ht="15.75" customHeight="1" s="23"/>
    <row r="793" ht="15.75" customHeight="1" s="23"/>
    <row r="794" ht="15.75" customHeight="1" s="23"/>
    <row r="795" ht="15.75" customHeight="1" s="23"/>
    <row r="796" ht="15.75" customHeight="1" s="23"/>
    <row r="797" ht="15.75" customHeight="1" s="23"/>
    <row r="798" ht="15.75" customHeight="1" s="23"/>
    <row r="799" ht="15.75" customHeight="1" s="23"/>
    <row r="800" ht="15.75" customHeight="1" s="23"/>
    <row r="801" ht="15.75" customHeight="1" s="23"/>
    <row r="802" ht="15.75" customHeight="1" s="23"/>
    <row r="803" ht="15.75" customHeight="1" s="23"/>
    <row r="804" ht="15.75" customHeight="1" s="23"/>
    <row r="805" ht="15.75" customHeight="1" s="23"/>
    <row r="806" ht="15.75" customHeight="1" s="23"/>
    <row r="807" ht="15.75" customHeight="1" s="23"/>
    <row r="808" ht="15.75" customHeight="1" s="23"/>
    <row r="809" ht="15.75" customHeight="1" s="23"/>
    <row r="810" ht="15.75" customHeight="1" s="23"/>
    <row r="811" ht="15.75" customHeight="1" s="23"/>
    <row r="812" ht="15.75" customHeight="1" s="23"/>
    <row r="813" ht="15.75" customHeight="1" s="23"/>
    <row r="814" ht="15.75" customHeight="1" s="23"/>
    <row r="815" ht="15.75" customHeight="1" s="23"/>
    <row r="816" ht="15.75" customHeight="1" s="23"/>
    <row r="817" ht="15.75" customHeight="1" s="23"/>
    <row r="818" ht="15.75" customHeight="1" s="23"/>
    <row r="819" ht="15.75" customHeight="1" s="23"/>
    <row r="820" ht="15.75" customHeight="1" s="23"/>
    <row r="821" ht="15.75" customHeight="1" s="23"/>
    <row r="822" ht="15.75" customHeight="1" s="23"/>
    <row r="823" ht="15.75" customHeight="1" s="23"/>
    <row r="824" ht="15.75" customHeight="1" s="23"/>
    <row r="825" ht="15.75" customHeight="1" s="23"/>
    <row r="826" ht="15.75" customHeight="1" s="23"/>
    <row r="827" ht="15.75" customHeight="1" s="23"/>
    <row r="828" ht="15.75" customHeight="1" s="23"/>
    <row r="829" ht="15.75" customHeight="1" s="23"/>
    <row r="830" ht="15.75" customHeight="1" s="23"/>
    <row r="831" ht="15.75" customHeight="1" s="23"/>
    <row r="832" ht="15.75" customHeight="1" s="23"/>
    <row r="833" ht="15.75" customHeight="1" s="23"/>
    <row r="834" ht="15.75" customHeight="1" s="23"/>
    <row r="835" ht="15.75" customHeight="1" s="23"/>
    <row r="836" ht="15.75" customHeight="1" s="23"/>
    <row r="837" ht="15.75" customHeight="1" s="23"/>
    <row r="838" ht="15.75" customHeight="1" s="23"/>
    <row r="839" ht="15.75" customHeight="1" s="23"/>
    <row r="840" ht="15.75" customHeight="1" s="23"/>
    <row r="841" ht="15.75" customHeight="1" s="23"/>
    <row r="842" ht="15.75" customHeight="1" s="23"/>
    <row r="843" ht="15.75" customHeight="1" s="23"/>
    <row r="844" ht="15.75" customHeight="1" s="23"/>
    <row r="845" ht="15.75" customHeight="1" s="23"/>
    <row r="846" ht="15.75" customHeight="1" s="23"/>
    <row r="847" ht="15.75" customHeight="1" s="23"/>
    <row r="848" ht="15.75" customHeight="1" s="23"/>
    <row r="849" ht="15.75" customHeight="1" s="23"/>
    <row r="850" ht="15.75" customHeight="1" s="23"/>
    <row r="851" ht="15.75" customHeight="1" s="23"/>
    <row r="852" ht="15.75" customHeight="1" s="23"/>
    <row r="853" ht="15.75" customHeight="1" s="23"/>
    <row r="854" ht="15.75" customHeight="1" s="23"/>
    <row r="855" ht="15.75" customHeight="1" s="23"/>
    <row r="856" ht="15.75" customHeight="1" s="23"/>
    <row r="857" ht="15.75" customHeight="1" s="23"/>
    <row r="858" ht="15.75" customHeight="1" s="23"/>
    <row r="859" ht="15.75" customHeight="1" s="23"/>
    <row r="860" ht="15.75" customHeight="1" s="23"/>
    <row r="861" ht="15.75" customHeight="1" s="23"/>
    <row r="862" ht="15.75" customHeight="1" s="23"/>
    <row r="863" ht="15.75" customHeight="1" s="23"/>
    <row r="864" ht="15.75" customHeight="1" s="23"/>
    <row r="865" ht="15.75" customHeight="1" s="23"/>
    <row r="866" ht="15.75" customHeight="1" s="23"/>
    <row r="867" ht="15.75" customHeight="1" s="23"/>
    <row r="868" ht="15.75" customHeight="1" s="23"/>
    <row r="869" ht="15.75" customHeight="1" s="23"/>
    <row r="870" ht="15.75" customHeight="1" s="23"/>
    <row r="871" ht="15.75" customHeight="1" s="23"/>
    <row r="872" ht="15.75" customHeight="1" s="23"/>
    <row r="873" ht="15.75" customHeight="1" s="23"/>
    <row r="874" ht="15.75" customHeight="1" s="23"/>
    <row r="875" ht="15.75" customHeight="1" s="23"/>
    <row r="876" ht="15.75" customHeight="1" s="23"/>
    <row r="877" ht="15.75" customHeight="1" s="23"/>
    <row r="878" ht="15.75" customHeight="1" s="23"/>
    <row r="879" ht="15.75" customHeight="1" s="23"/>
    <row r="880" ht="15.75" customHeight="1" s="23"/>
    <row r="881" ht="15.75" customHeight="1" s="23"/>
    <row r="882" ht="15.75" customHeight="1" s="23"/>
    <row r="883" ht="15.75" customHeight="1" s="23"/>
    <row r="884" ht="15.75" customHeight="1" s="23"/>
    <row r="885" ht="15.75" customHeight="1" s="23"/>
    <row r="886" ht="15.75" customHeight="1" s="23"/>
    <row r="887" ht="15.75" customHeight="1" s="23"/>
    <row r="888" ht="15.75" customHeight="1" s="23"/>
    <row r="889" ht="15.75" customHeight="1" s="23"/>
    <row r="890" ht="15.75" customHeight="1" s="23"/>
    <row r="891" ht="15.75" customHeight="1" s="23"/>
    <row r="892" ht="15.75" customHeight="1" s="23"/>
    <row r="893" ht="15.75" customHeight="1" s="23"/>
    <row r="894" ht="15.75" customHeight="1" s="23"/>
    <row r="895" ht="15.75" customHeight="1" s="23"/>
    <row r="896" ht="15.75" customHeight="1" s="23"/>
    <row r="897" ht="15.75" customHeight="1" s="23"/>
    <row r="898" ht="15.75" customHeight="1" s="23"/>
    <row r="899" ht="15.75" customHeight="1" s="23"/>
    <row r="900" ht="15.75" customHeight="1" s="23"/>
    <row r="901" ht="15.75" customHeight="1" s="23"/>
    <row r="902" ht="15.75" customHeight="1" s="23"/>
    <row r="903" ht="15.75" customHeight="1" s="23"/>
    <row r="904" ht="15.75" customHeight="1" s="23"/>
    <row r="905" ht="15.75" customHeight="1" s="23"/>
    <row r="906" ht="15.75" customHeight="1" s="23"/>
    <row r="907" ht="15.75" customHeight="1" s="23"/>
    <row r="908" ht="15.75" customHeight="1" s="23"/>
    <row r="909" ht="15.75" customHeight="1" s="23"/>
    <row r="910" ht="15.75" customHeight="1" s="23"/>
    <row r="911" ht="15.75" customHeight="1" s="23"/>
    <row r="912" ht="15.75" customHeight="1" s="23"/>
    <row r="913" ht="15.75" customHeight="1" s="23"/>
    <row r="914" ht="15.75" customHeight="1" s="23"/>
    <row r="915" ht="15.75" customHeight="1" s="23"/>
    <row r="916" ht="15.75" customHeight="1" s="23"/>
    <row r="917" ht="15.75" customHeight="1" s="23"/>
    <row r="918" ht="15.75" customHeight="1" s="23"/>
    <row r="919" ht="15.75" customHeight="1" s="23"/>
    <row r="920" ht="15.75" customHeight="1" s="23"/>
    <row r="921" ht="15.75" customHeight="1" s="23"/>
    <row r="922" ht="15.75" customHeight="1" s="23"/>
    <row r="923" ht="15.75" customHeight="1" s="23"/>
    <row r="924" ht="15.75" customHeight="1" s="23"/>
    <row r="925" ht="15.75" customHeight="1" s="23"/>
    <row r="926" ht="15.75" customHeight="1" s="23"/>
    <row r="927" ht="15.75" customHeight="1" s="23"/>
    <row r="928" ht="15.75" customHeight="1" s="23"/>
    <row r="929" ht="15.75" customHeight="1" s="23"/>
    <row r="930" ht="15.75" customHeight="1" s="23"/>
    <row r="931" ht="15.75" customHeight="1" s="23"/>
    <row r="932" ht="15.75" customHeight="1" s="23"/>
    <row r="933" ht="15.75" customHeight="1" s="23"/>
    <row r="934" ht="15.75" customHeight="1" s="23"/>
    <row r="935" ht="15.75" customHeight="1" s="23"/>
    <row r="936" ht="15.75" customHeight="1" s="23"/>
    <row r="937" ht="15.75" customHeight="1" s="23"/>
    <row r="938" ht="15.75" customHeight="1" s="23"/>
    <row r="939" ht="15.75" customHeight="1" s="23"/>
    <row r="940" ht="15.75" customHeight="1" s="23"/>
    <row r="941" ht="15.75" customHeight="1" s="23"/>
    <row r="942" ht="15.75" customHeight="1" s="23"/>
    <row r="943" ht="15.75" customHeight="1" s="23"/>
    <row r="944" ht="15.75" customHeight="1" s="23"/>
    <row r="945" ht="15.75" customHeight="1" s="23"/>
    <row r="946" ht="15.75" customHeight="1" s="23"/>
    <row r="947" ht="15.75" customHeight="1" s="23"/>
    <row r="948" ht="15.75" customHeight="1" s="23"/>
    <row r="949" ht="15.75" customHeight="1" s="23"/>
    <row r="950" ht="15.75" customHeight="1" s="23"/>
    <row r="951" ht="15.75" customHeight="1" s="23"/>
    <row r="952" ht="15.75" customHeight="1" s="23"/>
    <row r="953" ht="15.75" customHeight="1" s="23"/>
    <row r="954" ht="15.75" customHeight="1" s="23"/>
    <row r="955" ht="15.75" customHeight="1" s="23"/>
    <row r="956" ht="15.75" customHeight="1" s="23"/>
    <row r="957" ht="15.75" customHeight="1" s="23"/>
    <row r="958" ht="15.75" customHeight="1" s="23"/>
    <row r="959" ht="15.75" customHeight="1" s="23"/>
    <row r="960" ht="15.75" customHeight="1" s="23"/>
    <row r="961" ht="15.75" customHeight="1" s="23"/>
    <row r="962" ht="15.75" customHeight="1" s="23"/>
    <row r="963" ht="15.75" customHeight="1" s="23"/>
    <row r="964" ht="15.75" customHeight="1" s="23"/>
    <row r="965" ht="15.75" customHeight="1" s="23"/>
    <row r="966" ht="15.75" customHeight="1" s="23"/>
    <row r="967" ht="15.75" customHeight="1" s="23"/>
    <row r="968" ht="15.75" customHeight="1" s="23"/>
    <row r="969" ht="15.75" customHeight="1" s="23"/>
    <row r="970" ht="15.75" customHeight="1" s="23"/>
    <row r="971" ht="15.75" customHeight="1" s="23"/>
    <row r="972" ht="15.75" customHeight="1" s="23"/>
    <row r="973" ht="15.75" customHeight="1" s="23"/>
    <row r="974" ht="15.75" customHeight="1" s="23"/>
    <row r="975" ht="15.75" customHeight="1" s="23"/>
    <row r="976" ht="15.75" customHeight="1" s="23"/>
    <row r="977" ht="15.75" customHeight="1" s="23"/>
    <row r="978" ht="15.75" customHeight="1" s="23"/>
    <row r="979" ht="15.75" customHeight="1" s="23"/>
    <row r="980" ht="15.75" customHeight="1" s="23"/>
    <row r="981" ht="15.75" customHeight="1" s="23"/>
    <row r="982" ht="15.75" customHeight="1" s="23"/>
    <row r="983" ht="15.75" customHeight="1" s="23"/>
    <row r="984" ht="15.75" customHeight="1" s="23"/>
    <row r="985" ht="15.75" customHeight="1" s="23"/>
    <row r="986" ht="15.75" customHeight="1" s="23"/>
    <row r="987" ht="15.75" customHeight="1" s="23"/>
    <row r="988" ht="15.75" customHeight="1" s="23"/>
    <row r="989" ht="15.75" customHeight="1" s="23"/>
    <row r="990" ht="15.75" customHeight="1" s="23"/>
    <row r="991" ht="15.75" customHeight="1" s="23"/>
    <row r="992" ht="15.75" customHeight="1" s="23"/>
    <row r="993" ht="15.75" customHeight="1" s="23"/>
    <row r="994" ht="15.75" customHeight="1" s="23"/>
    <row r="995" ht="15.75" customHeight="1" s="23"/>
    <row r="996" ht="15.75" customHeight="1" s="23"/>
    <row r="997" ht="15.75" customHeight="1" s="23"/>
    <row r="998" ht="15.75" customHeight="1" s="23"/>
    <row r="999" ht="15.75" customHeight="1" s="23"/>
    <row r="1000" ht="15.75" customHeight="1" s="23"/>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2026-04-07T04:44:57Z</dcterms:created>
  <dcterms:modified xmlns:dcterms="http://purl.org/dc/terms/" xmlns:xsi="http://www.w3.org/2001/XMLSchema-instance" xsi:type="dcterms:W3CDTF">2026-08-12T12:33:01Z</dcterms:modified>
</cp:coreProperties>
</file>